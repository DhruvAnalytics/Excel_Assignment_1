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hruv\PW Skills\Data Analytics Course\Assignment\Milestone 5 Excel\Module 3 Part 3\"/>
    </mc:Choice>
  </mc:AlternateContent>
  <xr:revisionPtr revIDLastSave="0" documentId="13_ncr:1_{4C40FAA3-E8F2-4A49-B139-177A2A8358E5}" xr6:coauthVersionLast="47" xr6:coauthVersionMax="47" xr10:uidLastSave="{00000000-0000-0000-0000-000000000000}"/>
  <bookViews>
    <workbookView xWindow="-108" yWindow="-108" windowWidth="23256" windowHeight="12576" xr2:uid="{00000000-000D-0000-FFFF-FFFF00000000}"/>
  </bookViews>
  <sheets>
    <sheet name="Data" sheetId="1" r:id="rId1"/>
    <sheet name="Dashboard" sheetId="3" r:id="rId2"/>
    <sheet name="Pivot Tables" sheetId="2" r:id="rId3"/>
  </sheets>
  <definedNames>
    <definedName name="_xlnm._FilterDatabase" localSheetId="0" hidden="1">Data!$A$1:$N$36</definedName>
    <definedName name="HELLO" comment="Returns a greeting.">_xludf.LAMBDA(name, _xldudf_BOARDFLARE_EXEC("hello",name))</definedName>
    <definedName name="Slicer_Age_Group">#N/A</definedName>
    <definedName name="Slicer_City">#N/A</definedName>
    <definedName name="Slicer_Full_Name">#N/A</definedName>
    <definedName name="Slicer_Gender">#N/A</definedName>
    <definedName name="Slicer_Referred">#N/A</definedName>
    <definedName name="Slicer_Referred_B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GJwS0+B45xNQM+LKEkjyJlcr0UGtKlsJIMlgA/KehTo="/>
    </ext>
  </extLst>
</workbook>
</file>

<file path=xl/calcChain.xml><?xml version="1.0" encoding="utf-8"?>
<calcChain xmlns="http://schemas.openxmlformats.org/spreadsheetml/2006/main">
  <c r="J5" i="2" l="1"/>
  <c r="J6" i="2"/>
  <c r="O3" i="1" a="1"/>
  <c r="O3" i="1"/>
  <c r="O4" i="1" a="1"/>
  <c r="O4" i="1"/>
  <c r="O5" i="1" a="1"/>
  <c r="O5" i="1"/>
  <c r="O6" i="1" a="1"/>
  <c r="O6" i="1"/>
  <c r="O7" i="1" a="1"/>
  <c r="O7" i="1"/>
  <c r="O8" i="1" a="1"/>
  <c r="O8" i="1"/>
  <c r="O9" i="1" a="1"/>
  <c r="O9" i="1"/>
  <c r="O10" i="1" a="1"/>
  <c r="O10" i="1"/>
  <c r="O11" i="1" a="1"/>
  <c r="O11" i="1"/>
  <c r="O12" i="1" a="1"/>
  <c r="O12" i="1"/>
  <c r="O13" i="1" a="1"/>
  <c r="O13" i="1"/>
  <c r="O14" i="1" a="1"/>
  <c r="O14" i="1"/>
  <c r="O15" i="1" a="1"/>
  <c r="O15" i="1"/>
  <c r="O16" i="1" a="1"/>
  <c r="O16" i="1"/>
  <c r="O17" i="1" a="1"/>
  <c r="O17" i="1"/>
  <c r="O18" i="1" a="1"/>
  <c r="O18" i="1"/>
  <c r="O19" i="1" a="1"/>
  <c r="O19" i="1"/>
  <c r="O20" i="1" a="1"/>
  <c r="O20" i="1"/>
  <c r="O21" i="1" a="1"/>
  <c r="O21" i="1"/>
  <c r="O22" i="1" a="1"/>
  <c r="O22" i="1"/>
  <c r="O23" i="1" a="1"/>
  <c r="O23" i="1"/>
  <c r="O24" i="1" a="1"/>
  <c r="O24" i="1"/>
  <c r="O25" i="1" a="1"/>
  <c r="O25" i="1"/>
  <c r="O26" i="1" a="1"/>
  <c r="O26" i="1"/>
  <c r="O27" i="1" a="1"/>
  <c r="O27" i="1"/>
  <c r="O28" i="1" a="1"/>
  <c r="O28" i="1"/>
  <c r="O29" i="1" a="1"/>
  <c r="O29" i="1"/>
  <c r="O30" i="1" a="1"/>
  <c r="O30" i="1"/>
  <c r="O31" i="1" a="1"/>
  <c r="O31" i="1"/>
  <c r="O32" i="1" a="1"/>
  <c r="O32" i="1"/>
  <c r="O33" i="1" a="1"/>
  <c r="O33" i="1"/>
  <c r="O34" i="1" a="1"/>
  <c r="O34" i="1"/>
  <c r="O35" i="1" a="1"/>
  <c r="O35" i="1"/>
  <c r="O36" i="1" a="1"/>
  <c r="O36" i="1"/>
  <c r="O2" i="1" a="1"/>
  <c r="O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 r="L3" i="1"/>
  <c r="N3" i="1" s="1"/>
  <c r="L4" i="1"/>
  <c r="N4" i="1" s="1"/>
  <c r="L5" i="1"/>
  <c r="N5" i="1" s="1"/>
  <c r="L6" i="1"/>
  <c r="N6" i="1" s="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2" i="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<sst xmlns="http://schemas.openxmlformats.org/spreadsheetml/2006/main" count="281" uniqueCount="149">
  <si>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</si>
  <si>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</si>
  <si>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</si>
  <si>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</si>
  <si>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</si>
  <si>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</si>
  <si>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</si>
  <si>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</si>
  <si>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</si>
  <si>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</si>
  <si>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</si>
  <si>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</si>
  <si>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</si>
  <si>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</si>
  <si>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</si>
  <si>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</si>
  <si>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</si>
  <si>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</si>
  <si>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</si>
  <si>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</si>
  <si>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</si>
  <si>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</si>
  <si>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</si>
  <si>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</si>
  <si>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</si>
  <si>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</si>
  <si>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</si>
  <si>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</si>
  <si>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</si>
  <si>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</si>
  <si>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</si>
  <si>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</si>
  <si>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</si>
  <si>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</si>
  <si>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</si>
  <si>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</si>
  <si>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</si>
  <si>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</si>
  <si>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</si>
  <si>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</si>
  <si>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</si>
  <si>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</si>
  <si>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</si>
  <si>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</si>
  <si>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</si>
  <si>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</si>
  <si>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</si>
  <si>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</si>
  <si>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</si>
  <si>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</si>
  <si>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</si>
  <si>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</si>
  <si>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</si>
  <si>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</si>
  <si>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</si>
  <si>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</si>
  <si>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</si>
  <si>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</si>
  <si>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</si>
  <si>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</si>
  <si>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</si>
  <si>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</si>
  <si>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</si>
  <si>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</si>
  <si>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</si>
  <si>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</si>
  <si>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</si>
  <si>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</si>
  <si>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</si>
  <si>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</si>
  <si>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</si>
  <si>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</si>
  <si>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</si>
  <si>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</si>
  <si>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</si>
  <si>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</si>
  <si>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</si>
  <si>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</si>
  <si>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</si>
  <si>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</si>
  <si>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</si>
  <si>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</si>
  <si>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</si>
  <si>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</si>
  <si>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</si>
  <si>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</si>
  <si>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</si>
  <si>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</si>
  <si>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</si>
  <si>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</si>
  <si>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</si>
  <si>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</si>
  <si>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</si>
  <si>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</si>
  <si>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</si>
  <si>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</si>
  <si>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</si>
  <si>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</si>
  <si>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</si>
  <si>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</si>
  <si>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</si>
  <si>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</si>
  <si>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</si>
  <si>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</si>
  <si>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</si>
  <si>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</si>
  <si>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</si>
  <si>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Membership_Duration_Months</t>
  </si>
  <si>
    <t>Referred</t>
  </si>
  <si>
    <t>Total_Revenue</t>
  </si>
  <si>
    <t>No</t>
  </si>
  <si>
    <t>Yes</t>
  </si>
  <si>
    <t>Grand Total</t>
  </si>
  <si>
    <t xml:space="preserve">Referred </t>
  </si>
  <si>
    <t>Average of Monthly Fee</t>
  </si>
  <si>
    <t>Sum of Total_Revenue</t>
  </si>
  <si>
    <t>Cities</t>
  </si>
  <si>
    <t>Member Type</t>
  </si>
  <si>
    <t>Revenue</t>
  </si>
  <si>
    <t>GenderWise Breakdown</t>
  </si>
  <si>
    <t>Age Group</t>
  </si>
  <si>
    <t>Row Labels</t>
  </si>
  <si>
    <t>Adults</t>
  </si>
  <si>
    <t>Seniors</t>
  </si>
  <si>
    <t>Youth</t>
  </si>
  <si>
    <t>AgeGroup</t>
  </si>
  <si>
    <t>Age-Distribution</t>
  </si>
  <si>
    <t>2. Pivot Table to compare average Monthly_Fee for referred vs. non-referred members</t>
  </si>
  <si>
    <t xml:space="preserve">3. City-wise Revenue breakdown </t>
  </si>
  <si>
    <t>6. Gender-wise breakdown of members  in cities</t>
  </si>
  <si>
    <t>6. Age Distribution across membership types</t>
  </si>
  <si>
    <t>Memebership</t>
  </si>
  <si>
    <t>Total Revenue</t>
  </si>
  <si>
    <t>Max Revenue</t>
  </si>
  <si>
    <t>Min Revenue</t>
  </si>
  <si>
    <t>Count</t>
  </si>
  <si>
    <t>Average Age</t>
  </si>
  <si>
    <t xml:space="preserve">Count </t>
  </si>
  <si>
    <t>Average Revenue</t>
  </si>
  <si>
    <t>Average Duration Months</t>
  </si>
  <si>
    <t>Membership Type</t>
  </si>
  <si>
    <t>3. Total Revenue Earned from:</t>
  </si>
  <si>
    <t>Column1</t>
  </si>
  <si>
    <t xml:space="preserve">4: Low engagement members are highlighted with light orange. </t>
  </si>
  <si>
    <t>1: Membership_Duration_Months column is added.</t>
  </si>
  <si>
    <t>2: Referred column is created.</t>
  </si>
  <si>
    <t>3: Total_Revenue column is added.</t>
  </si>
  <si>
    <t>Note: Pivot tables are in Pivot Tables' sheet.</t>
  </si>
  <si>
    <t>5. Segment Profitability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</si>
</sst>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quot;₹&quot;\ #,##0"/>
  </numFmts>
  <fonts count="10"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sz val="12"/>
      <color theme="1"/>
      <name val="Calibri"/>
      <family val="2"/>
      <scheme val="minor"/>
    </font>
    <font>
      <sz val="14"/>
      <color theme="1"/>
      <name val="Calibri"/>
      <family val="2"/>
      <scheme val="minor"/>
    </font>
    <font>
      <b/>
      <sz val="14"/>
      <color theme="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2"/>
        <bgColor indexed="64"/>
      </patternFill>
    </fill>
    <fill>
      <patternFill patternType="solid">
        <fgColor rgb="FF427BAE"/>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auto="1"/>
      </bottom>
      <diagonal/>
    </border>
    <border>
      <left style="thin">
        <color indexed="64"/>
      </left>
      <right style="thin">
        <color indexed="64"/>
      </right>
      <top/>
      <bottom style="thin">
        <color auto="1"/>
      </bottom>
      <diagonal/>
    </border>
    <border>
      <left/>
      <right style="thin">
        <color indexed="64"/>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9">
    <xf numFmtId="0" fontId="0" fillId="0" borderId="0" xfId="0"/>
    <xf numFmtId="0" fontId="5" fillId="0" borderId="0" xfId="0" applyFont="1" applyAlignment="1">
      <alignment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xf numFmtId="0" fontId="0" fillId="0" borderId="3" xfId="0" applyBorder="1"/>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4" xfId="0" applyBorder="1"/>
    <xf numFmtId="2" fontId="0" fillId="0" borderId="4" xfId="0" applyNumberFormat="1" applyBorder="1" applyAlignment="1">
      <alignment horizontal="center" vertical="center"/>
    </xf>
    <xf numFmtId="0" fontId="0" fillId="0" borderId="0" xfId="0" applyAlignment="1">
      <alignment horizontal="left"/>
    </xf>
    <xf numFmtId="0" fontId="0" fillId="0" borderId="0" xfId="0"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3" fillId="0" borderId="1" xfId="0" applyFont="1" applyBorder="1"/>
    <xf numFmtId="164" fontId="4" fillId="0" borderId="1" xfId="0" applyNumberFormat="1" applyFont="1" applyBorder="1"/>
    <xf numFmtId="0" fontId="3" fillId="0" borderId="8" xfId="0" applyFont="1" applyBorder="1"/>
    <xf numFmtId="0" fontId="0" fillId="0" borderId="9" xfId="0" applyBorder="1"/>
    <xf numFmtId="0" fontId="2" fillId="0" borderId="7" xfId="0" applyFont="1" applyBorder="1" applyAlignment="1">
      <alignment horizontal="center" vertical="top"/>
    </xf>
    <xf numFmtId="0" fontId="2" fillId="0" borderId="6" xfId="0" applyFont="1" applyBorder="1" applyAlignment="1">
      <alignment horizontal="center" vertical="top"/>
    </xf>
    <xf numFmtId="0" fontId="2" fillId="0" borderId="5" xfId="0" applyFont="1" applyBorder="1" applyAlignment="1">
      <alignment horizontal="center" vertical="top"/>
    </xf>
    <xf numFmtId="0" fontId="3" fillId="0" borderId="10" xfId="0" applyFont="1" applyBorder="1"/>
    <xf numFmtId="0" fontId="3" fillId="0" borderId="2" xfId="0" applyFont="1" applyBorder="1"/>
    <xf numFmtId="164" fontId="4" fillId="0" borderId="2" xfId="0" applyNumberFormat="1" applyFont="1" applyBorder="1"/>
    <xf numFmtId="0" fontId="0" fillId="0" borderId="2" xfId="0" applyBorder="1"/>
    <xf numFmtId="0" fontId="0" fillId="0" borderId="11" xfId="0" applyBorder="1"/>
    <xf numFmtId="0" fontId="8" fillId="0" borderId="0" xfId="0" applyFont="1" applyAlignment="1">
      <alignment horizontal="center" vertical="center"/>
    </xf>
    <xf numFmtId="1" fontId="8" fillId="0" borderId="0" xfId="0" applyNumberFormat="1" applyFont="1" applyAlignment="1">
      <alignment horizontal="center" vertical="center"/>
    </xf>
    <xf numFmtId="166" fontId="8" fillId="0" borderId="0" xfId="0" applyNumberFormat="1" applyFont="1" applyAlignment="1">
      <alignment horizontal="center" vertical="center"/>
    </xf>
    <xf numFmtId="0" fontId="0" fillId="0" borderId="3" xfId="0" applyBorder="1" applyAlignment="1">
      <alignment horizontal="center"/>
    </xf>
    <xf numFmtId="0" fontId="0" fillId="0" borderId="0" xfId="0" applyAlignment="1">
      <alignment horizontal="center"/>
    </xf>
    <xf numFmtId="165" fontId="0" fillId="0" borderId="0" xfId="0" applyNumberFormat="1" applyAlignment="1">
      <alignment horizontal="center"/>
    </xf>
    <xf numFmtId="165" fontId="0" fillId="0" borderId="0" xfId="0" applyNumberFormat="1" applyAlignment="1">
      <alignment horizontal="center" vertical="center"/>
    </xf>
    <xf numFmtId="165" fontId="0" fillId="0" borderId="4" xfId="0" applyNumberFormat="1" applyBorder="1" applyAlignment="1">
      <alignment horizontal="center"/>
    </xf>
    <xf numFmtId="165" fontId="0" fillId="0" borderId="4" xfId="0" applyNumberFormat="1" applyBorder="1" applyAlignment="1">
      <alignment horizontal="center" vertical="center"/>
    </xf>
    <xf numFmtId="0" fontId="7" fillId="0" borderId="0" xfId="0" applyFont="1" applyAlignment="1">
      <alignment horizontal="center"/>
    </xf>
    <xf numFmtId="1" fontId="7" fillId="0" borderId="0" xfId="0" applyNumberFormat="1" applyFont="1" applyAlignment="1">
      <alignment horizontal="center"/>
    </xf>
    <xf numFmtId="2" fontId="7" fillId="0" borderId="4" xfId="0" applyNumberFormat="1" applyFont="1" applyBorder="1" applyAlignment="1">
      <alignment horizontal="center"/>
    </xf>
    <xf numFmtId="0" fontId="7" fillId="0" borderId="3" xfId="0" applyFont="1" applyBorder="1" applyAlignment="1">
      <alignment horizontal="center"/>
    </xf>
    <xf numFmtId="0" fontId="9" fillId="4" borderId="0" xfId="0" applyFont="1" applyFill="1" applyAlignment="1">
      <alignment horizontal="center" vertical="center"/>
    </xf>
    <xf numFmtId="0" fontId="5" fillId="2" borderId="0" xfId="0" applyFont="1" applyFill="1" applyAlignment="1">
      <alignment horizontal="left" vertical="center"/>
    </xf>
    <xf numFmtId="0" fontId="5" fillId="3" borderId="0" xfId="0" applyFont="1" applyFill="1" applyAlignment="1">
      <alignment horizontal="center" vertical="center"/>
    </xf>
    <xf numFmtId="0" fontId="9" fillId="5" borderId="0" xfId="0" applyFont="1" applyFill="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left" vertical="center"/>
    </xf>
  </cellXfs>
  <cellStyles count="1">
    <cellStyle name="Normal" xfId="0" builtinId="0"/>
  </cellStyles>
  <dxfs count="259">
    <dxf>
      <font>
        <b/>
        <i val="0"/>
      </font>
      <fill>
        <patternFill>
          <bgColor theme="9" tint="0.39994506668294322"/>
        </patternFill>
      </fill>
      <border>
        <left/>
        <right/>
        <top/>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border outline="0">
        <bottom style="thin">
          <color auto="1"/>
        </bottom>
      </border>
    </dxf>
    <dxf>
      <alignment horizontal="center" vertical="center" textRotation="0" wrapText="0" indent="0" justifyLastLine="0" shrinkToFit="0" readingOrder="0"/>
    </dxf>
    <dxf>
      <border>
        <bottom style="thin">
          <color auto="1"/>
        </bottom>
      </border>
    </dxf>
    <dxf>
      <alignment horizontal="center" vertical="center" textRotation="0" wrapText="0" indent="0" justifyLastLine="0" shrinkToFit="0" readingOrder="0"/>
      <border diagonalUp="0" diagonalDown="0">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
      <alignment wrapText="0"/>
    </dxf>
    <dxf>
      <alignment wrapText="0"/>
    </dxf>
    <dxf>
      <alignment wrapText="0"/>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alignment wrapText="0"/>
    </dxf>
    <dxf>
      <alignment wrapText="0"/>
    </dxf>
    <dxf>
      <alignment wrapText="0"/>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alignment wrapText="0"/>
    </dxf>
    <dxf>
      <alignment wrapText="0"/>
    </dxf>
    <dxf>
      <alignment wrapText="0"/>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border>
        <left style="thin">
          <color indexed="64"/>
        </left>
      </border>
    </dxf>
    <dxf>
      <border>
        <left/>
        <right/>
      </border>
    </dxf>
    <dxf>
      <border>
        <left style="thin">
          <color indexed="64"/>
        </lef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border>
    </dxf>
    <dxf>
      <border>
        <left style="thin">
          <color indexed="64"/>
        </left>
      </border>
    </dxf>
    <dxf>
      <border>
        <left/>
        <right/>
      </border>
    </dxf>
    <dxf>
      <border>
        <left/>
        <right/>
      </border>
    </dxf>
    <dxf>
      <border>
        <left style="thin">
          <color indexed="64"/>
        </left>
      </border>
    </dxf>
    <dxf>
      <border>
        <left/>
        <right/>
      </border>
    </dxf>
    <dxf>
      <border>
        <right/>
      </border>
    </dxf>
    <dxf>
      <border>
        <left/>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alignment horizontal="center"/>
    </dxf>
    <dxf>
      <alignment horizontal="center"/>
    </dxf>
    <dxf>
      <alignment horizontal="center"/>
    </dxf>
    <dxf>
      <alignment horizontal="center"/>
    </dxf>
    <dxf>
      <alignment horizontal="center"/>
    </dxf>
    <dxf>
      <alignment horizontal="center"/>
    </dxf>
    <dxf>
      <numFmt numFmtId="2"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2"/>
      </font>
    </dxf>
    <dxf>
      <font>
        <sz val="12"/>
      </font>
    </dxf>
    <dxf>
      <alignment wrapText="0"/>
    </dxf>
    <dxf>
      <alignment wrapText="0"/>
    </dxf>
    <dxf>
      <alignment wrapText="0"/>
    </dxf>
    <dxf>
      <fill>
        <patternFill patternType="none">
          <bgColor auto="1"/>
        </patternFill>
      </fill>
    </dxf>
    <dxf>
      <fill>
        <patternFill patternType="none">
          <bgColor auto="1"/>
        </patternFill>
      </fill>
    </dxf>
    <dxf>
      <fill>
        <patternFill patternType="none">
          <bgColor auto="1"/>
        </patternFill>
      </fill>
    </dxf>
    <dxf>
      <numFmt numFmtId="1" formatCode="0"/>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none"/>
      </font>
      <numFmt numFmtId="164" formatCode="yyyy\-mm\-dd"/>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none"/>
      </font>
      <numFmt numFmtId="164" formatCode="yyyy\-mm\-dd"/>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427BAE"/>
      <color rgb="FF3775B9"/>
      <color rgb="FFFFA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1 - Fitness Club Advanced Excel Analysis.xlsx]Dashboard!PivotTable5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Revenue</a:t>
            </a:r>
          </a:p>
        </c:rich>
      </c:tx>
      <c:layout>
        <c:manualLayout>
          <c:xMode val="edge"/>
          <c:yMode val="edge"/>
          <c:x val="0.33512544876727329"/>
          <c:y val="2.435001989258662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60178279731913E-2"/>
          <c:y val="7.8946301607334637E-2"/>
          <c:w val="0.94147964344053614"/>
          <c:h val="0.7988057816116797"/>
        </c:manualLayout>
      </c:layout>
      <c:barChart>
        <c:barDir val="col"/>
        <c:grouping val="clustered"/>
        <c:varyColors val="0"/>
        <c:ser>
          <c:idx val="0"/>
          <c:order val="0"/>
          <c:tx>
            <c:strRef>
              <c:f>Dashboard!$C$2:$C$3</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Dashboard!$B$4:$B$8</c:f>
              <c:strCache>
                <c:ptCount val="4"/>
                <c:pt idx="0">
                  <c:v>Family</c:v>
                </c:pt>
                <c:pt idx="1">
                  <c:v>Premium</c:v>
                </c:pt>
                <c:pt idx="2">
                  <c:v>Standard</c:v>
                </c:pt>
                <c:pt idx="3">
                  <c:v>Basic</c:v>
                </c:pt>
              </c:strCache>
            </c:strRef>
          </c:cat>
          <c:val>
            <c:numRef>
              <c:f>Dashboard!$C$4:$C$8</c:f>
              <c:numCache>
                <c:formatCode>"₹"\ #,##0.00</c:formatCode>
                <c:ptCount val="4"/>
                <c:pt idx="0">
                  <c:v>13333.333333333334</c:v>
                </c:pt>
                <c:pt idx="1">
                  <c:v>16800</c:v>
                </c:pt>
                <c:pt idx="2">
                  <c:v>6720</c:v>
                </c:pt>
                <c:pt idx="3">
                  <c:v>7200</c:v>
                </c:pt>
              </c:numCache>
            </c:numRef>
          </c:val>
          <c:extLst>
            <c:ext xmlns:c16="http://schemas.microsoft.com/office/drawing/2014/chart" uri="{C3380CC4-5D6E-409C-BE32-E72D297353CC}">
              <c16:uniqueId val="{00000000-D806-47CD-8D19-3033C62C4A74}"/>
            </c:ext>
          </c:extLst>
        </c:ser>
        <c:ser>
          <c:idx val="1"/>
          <c:order val="1"/>
          <c:tx>
            <c:strRef>
              <c:f>Dashboard!$D$2:$D$3</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Dashboard!$B$4:$B$8</c:f>
              <c:strCache>
                <c:ptCount val="4"/>
                <c:pt idx="0">
                  <c:v>Family</c:v>
                </c:pt>
                <c:pt idx="1">
                  <c:v>Premium</c:v>
                </c:pt>
                <c:pt idx="2">
                  <c:v>Standard</c:v>
                </c:pt>
                <c:pt idx="3">
                  <c:v>Basic</c:v>
                </c:pt>
              </c:strCache>
            </c:strRef>
          </c:cat>
          <c:val>
            <c:numRef>
              <c:f>Dashboard!$D$4:$D$8</c:f>
              <c:numCache>
                <c:formatCode>"₹"\ #,##0.00</c:formatCode>
                <c:ptCount val="4"/>
                <c:pt idx="0">
                  <c:v>8750</c:v>
                </c:pt>
                <c:pt idx="1">
                  <c:v>4050</c:v>
                </c:pt>
                <c:pt idx="2">
                  <c:v>7714.2857142857147</c:v>
                </c:pt>
                <c:pt idx="3">
                  <c:v>1440</c:v>
                </c:pt>
              </c:numCache>
            </c:numRef>
          </c:val>
          <c:extLst>
            <c:ext xmlns:c16="http://schemas.microsoft.com/office/drawing/2014/chart" uri="{C3380CC4-5D6E-409C-BE32-E72D297353CC}">
              <c16:uniqueId val="{00000001-06B8-4A39-A9FD-45A6283300E0}"/>
            </c:ext>
          </c:extLst>
        </c:ser>
        <c:dLbls>
          <c:dLblPos val="inEnd"/>
          <c:showLegendKey val="0"/>
          <c:showVal val="1"/>
          <c:showCatName val="0"/>
          <c:showSerName val="0"/>
          <c:showPercent val="0"/>
          <c:showBubbleSize val="0"/>
        </c:dLbls>
        <c:gapWidth val="100"/>
        <c:overlap val="-24"/>
        <c:axId val="1054000543"/>
        <c:axId val="1054001023"/>
      </c:barChart>
      <c:catAx>
        <c:axId val="1054000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4001023"/>
        <c:crosses val="autoZero"/>
        <c:auto val="1"/>
        <c:lblAlgn val="ctr"/>
        <c:lblOffset val="100"/>
        <c:noMultiLvlLbl val="0"/>
      </c:catAx>
      <c:valAx>
        <c:axId val="105400102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4000543"/>
        <c:crosses val="autoZero"/>
        <c:crossBetween val="between"/>
      </c:valAx>
      <c:spPr>
        <a:noFill/>
        <a:ln>
          <a:noFill/>
        </a:ln>
        <a:effectLst/>
      </c:spPr>
    </c:plotArea>
    <c:legend>
      <c:legendPos val="r"/>
      <c:layout>
        <c:manualLayout>
          <c:xMode val="edge"/>
          <c:yMode val="edge"/>
          <c:x val="0.8508264818747685"/>
          <c:y val="4.6247618309050581E-2"/>
          <c:w val="8.4331999810529676E-2"/>
          <c:h val="0.15636504499027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1 - Fitness Club Advanced Excel Analysis.xlsx]Dashboard!PivotTable11</c:name>
    <c:fmtId val="35"/>
  </c:pivotSource>
  <c:chart>
    <c:title>
      <c:layout>
        <c:manualLayout>
          <c:xMode val="edge"/>
          <c:yMode val="edge"/>
          <c:x val="0.78495812368246454"/>
          <c:y val="6.86707248734534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hPercent val="10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97195313100381E-2"/>
          <c:y val="0.18365516533153856"/>
          <c:w val="0.9"/>
          <c:h val="0.74597440944881888"/>
        </c:manualLayout>
      </c:layout>
      <c:pie3DChart>
        <c:varyColors val="1"/>
        <c:ser>
          <c:idx val="0"/>
          <c:order val="0"/>
          <c:tx>
            <c:strRef>
              <c:f>Dashboard!$N$2</c:f>
              <c:strCache>
                <c:ptCount val="1"/>
                <c:pt idx="0">
                  <c:v>Count </c:v>
                </c:pt>
              </c:strCache>
            </c:strRef>
          </c:tx>
          <c:explosion val="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4F78-462F-A1AA-D2BC43E3B7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F78-462F-A1AA-D2BC43E3B7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FC3-4BF1-A753-6A993E154F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FC3-4BF1-A753-6A993E154F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Dashboard!$M$3:$M$7</c:f>
              <c:strCache>
                <c:ptCount val="4"/>
                <c:pt idx="0">
                  <c:v>Basic</c:v>
                </c:pt>
                <c:pt idx="1">
                  <c:v>Family</c:v>
                </c:pt>
                <c:pt idx="2">
                  <c:v>Premium</c:v>
                </c:pt>
                <c:pt idx="3">
                  <c:v>Standard</c:v>
                </c:pt>
              </c:strCache>
            </c:strRef>
          </c:cat>
          <c:val>
            <c:numRef>
              <c:f>Dashboard!$N$3:$N$7</c:f>
              <c:numCache>
                <c:formatCode>General</c:formatCode>
                <c:ptCount val="4"/>
                <c:pt idx="0">
                  <c:v>9</c:v>
                </c:pt>
                <c:pt idx="1">
                  <c:v>7</c:v>
                </c:pt>
                <c:pt idx="2">
                  <c:v>7</c:v>
                </c:pt>
                <c:pt idx="3">
                  <c:v>12</c:v>
                </c:pt>
              </c:numCache>
            </c:numRef>
          </c:val>
          <c:extLst>
            <c:ext xmlns:c16="http://schemas.microsoft.com/office/drawing/2014/chart" uri="{C3380CC4-5D6E-409C-BE32-E72D297353CC}">
              <c16:uniqueId val="{00000000-4F78-462F-A1AA-D2BC43E3B7ED}"/>
            </c:ext>
          </c:extLst>
        </c:ser>
        <c:ser>
          <c:idx val="1"/>
          <c:order val="1"/>
          <c:tx>
            <c:strRef>
              <c:f>Dashboard!$O$2</c:f>
              <c:strCache>
                <c:ptCount val="1"/>
                <c:pt idx="0">
                  <c:v>Average 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FC3-4BF1-A753-6A993E154F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FC3-4BF1-A753-6A993E154F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FC3-4BF1-A753-6A993E154F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FC3-4BF1-A753-6A993E154F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Dashboard!$M$3:$M$7</c:f>
              <c:strCache>
                <c:ptCount val="4"/>
                <c:pt idx="0">
                  <c:v>Basic</c:v>
                </c:pt>
                <c:pt idx="1">
                  <c:v>Family</c:v>
                </c:pt>
                <c:pt idx="2">
                  <c:v>Premium</c:v>
                </c:pt>
                <c:pt idx="3">
                  <c:v>Standard</c:v>
                </c:pt>
              </c:strCache>
            </c:strRef>
          </c:cat>
          <c:val>
            <c:numRef>
              <c:f>Dashboard!$O$3:$O$7</c:f>
              <c:numCache>
                <c:formatCode>0</c:formatCode>
                <c:ptCount val="4"/>
                <c:pt idx="0">
                  <c:v>39.333333333333336</c:v>
                </c:pt>
                <c:pt idx="1">
                  <c:v>32.285714285714285</c:v>
                </c:pt>
                <c:pt idx="2">
                  <c:v>42.571428571428569</c:v>
                </c:pt>
                <c:pt idx="3">
                  <c:v>34.75</c:v>
                </c:pt>
              </c:numCache>
            </c:numRef>
          </c:val>
          <c:extLst>
            <c:ext xmlns:c16="http://schemas.microsoft.com/office/drawing/2014/chart" uri="{C3380CC4-5D6E-409C-BE32-E72D297353CC}">
              <c16:uniqueId val="{00000001-4F78-462F-A1AA-D2BC43E3B7ED}"/>
            </c:ext>
          </c:extLst>
        </c:ser>
        <c:ser>
          <c:idx val="2"/>
          <c:order val="2"/>
          <c:tx>
            <c:strRef>
              <c:f>Dashboard!$P$2</c:f>
              <c:strCache>
                <c:ptCount val="1"/>
                <c:pt idx="0">
                  <c:v>Average Duration Months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EC04-4977-87A6-AA93EF1CEB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EC04-4977-87A6-AA93EF1CEB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EC04-4977-87A6-AA93EF1CEB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EC04-4977-87A6-AA93EF1CEB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Dashboard!$M$3:$M$7</c:f>
              <c:strCache>
                <c:ptCount val="4"/>
                <c:pt idx="0">
                  <c:v>Basic</c:v>
                </c:pt>
                <c:pt idx="1">
                  <c:v>Family</c:v>
                </c:pt>
                <c:pt idx="2">
                  <c:v>Premium</c:v>
                </c:pt>
                <c:pt idx="3">
                  <c:v>Standard</c:v>
                </c:pt>
              </c:strCache>
            </c:strRef>
          </c:cat>
          <c:val>
            <c:numRef>
              <c:f>Dashboard!$P$3:$P$7</c:f>
              <c:numCache>
                <c:formatCode>0.00</c:formatCode>
                <c:ptCount val="4"/>
                <c:pt idx="0">
                  <c:v>5</c:v>
                </c:pt>
                <c:pt idx="1">
                  <c:v>4.2857142857142856</c:v>
                </c:pt>
                <c:pt idx="2">
                  <c:v>5.2857142857142856</c:v>
                </c:pt>
                <c:pt idx="3">
                  <c:v>6.083333333333333</c:v>
                </c:pt>
              </c:numCache>
            </c:numRef>
          </c:val>
          <c:extLst>
            <c:ext xmlns:c16="http://schemas.microsoft.com/office/drawing/2014/chart" uri="{C3380CC4-5D6E-409C-BE32-E72D297353CC}">
              <c16:uniqueId val="{00000012-DFC3-4BF1-A753-6A993E154F7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17045</xdr:colOff>
      <xdr:row>16</xdr:row>
      <xdr:rowOff>80210</xdr:rowOff>
    </xdr:from>
    <xdr:to>
      <xdr:col>9</xdr:col>
      <xdr:colOff>200527</xdr:colOff>
      <xdr:row>37</xdr:row>
      <xdr:rowOff>127334</xdr:rowOff>
    </xdr:to>
    <xdr:graphicFrame macro="">
      <xdr:nvGraphicFramePr>
        <xdr:cNvPr id="2" name="Chart 1">
          <a:extLst>
            <a:ext uri="{FF2B5EF4-FFF2-40B4-BE49-F238E27FC236}">
              <a16:creationId xmlns:a16="http://schemas.microsoft.com/office/drawing/2014/main" id="{502608A3-8113-56B7-28FB-C6DEC3869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802106</xdr:colOff>
      <xdr:row>5</xdr:row>
      <xdr:rowOff>184484</xdr:rowOff>
    </xdr:from>
    <xdr:to>
      <xdr:col>11</xdr:col>
      <xdr:colOff>504126</xdr:colOff>
      <xdr:row>12</xdr:row>
      <xdr:rowOff>2005</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A776560B-73EC-89FA-8B77-6ABEC8EC0D3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563853" y="1347537"/>
              <a:ext cx="1923852" cy="1277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458204</xdr:colOff>
      <xdr:row>5</xdr:row>
      <xdr:rowOff>174458</xdr:rowOff>
    </xdr:from>
    <xdr:to>
      <xdr:col>9</xdr:col>
      <xdr:colOff>365844</xdr:colOff>
      <xdr:row>12</xdr:row>
      <xdr:rowOff>2005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B8F0929-2D88-FB88-AD4B-13DFBE521E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92730" y="1337511"/>
              <a:ext cx="1134861" cy="1287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573931</xdr:colOff>
      <xdr:row>8</xdr:row>
      <xdr:rowOff>136357</xdr:rowOff>
    </xdr:from>
    <xdr:to>
      <xdr:col>4</xdr:col>
      <xdr:colOff>346911</xdr:colOff>
      <xdr:row>15</xdr:row>
      <xdr:rowOff>44904</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F61C5F5-7076-C7B2-D555-11A42A7A71F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42373" y="1973178"/>
              <a:ext cx="2572327" cy="1248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348918</xdr:colOff>
      <xdr:row>8</xdr:row>
      <xdr:rowOff>2009</xdr:rowOff>
    </xdr:from>
    <xdr:to>
      <xdr:col>14</xdr:col>
      <xdr:colOff>385010</xdr:colOff>
      <xdr:row>15</xdr:row>
      <xdr:rowOff>128337</xdr:rowOff>
    </xdr:to>
    <mc:AlternateContent xmlns:mc="http://schemas.openxmlformats.org/markup-compatibility/2006" xmlns:a14="http://schemas.microsoft.com/office/drawing/2010/main">
      <mc:Choice Requires="a14">
        <xdr:graphicFrame macro="">
          <xdr:nvGraphicFramePr>
            <xdr:cNvPr id="9" name="Referred_By">
              <a:extLst>
                <a:ext uri="{FF2B5EF4-FFF2-40B4-BE49-F238E27FC236}">
                  <a16:creationId xmlns:a16="http://schemas.microsoft.com/office/drawing/2014/main" id="{25547BD5-6600-AE72-EAAB-9B2C1E428BA0}"/>
                </a:ext>
              </a:extLst>
            </xdr:cNvPr>
            <xdr:cNvGraphicFramePr/>
          </xdr:nvGraphicFramePr>
          <xdr:xfrm>
            <a:off x="0" y="0"/>
            <a:ext cx="0" cy="0"/>
          </xdr:xfrm>
          <a:graphic>
            <a:graphicData uri="http://schemas.microsoft.com/office/drawing/2010/slicer">
              <sle:slicer xmlns:sle="http://schemas.microsoft.com/office/drawing/2010/slicer" name="Referred_By"/>
            </a:graphicData>
          </a:graphic>
        </xdr:graphicFrame>
      </mc:Choice>
      <mc:Fallback xmlns="">
        <xdr:sp macro="" textlink="">
          <xdr:nvSpPr>
            <xdr:cNvPr id="0" name=""/>
            <xdr:cNvSpPr>
              <a:spLocks noTextEdit="1"/>
            </xdr:cNvSpPr>
          </xdr:nvSpPr>
          <xdr:spPr>
            <a:xfrm>
              <a:off x="9853865" y="1838830"/>
              <a:ext cx="2057398" cy="1465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778042</xdr:colOff>
      <xdr:row>8</xdr:row>
      <xdr:rowOff>16326</xdr:rowOff>
    </xdr:from>
    <xdr:to>
      <xdr:col>16</xdr:col>
      <xdr:colOff>24766</xdr:colOff>
      <xdr:row>15</xdr:row>
      <xdr:rowOff>120316</xdr:rowOff>
    </xdr:to>
    <mc:AlternateContent xmlns:mc="http://schemas.openxmlformats.org/markup-compatibility/2006" xmlns:a14="http://schemas.microsoft.com/office/drawing/2010/main">
      <mc:Choice Requires="a14">
        <xdr:graphicFrame macro="">
          <xdr:nvGraphicFramePr>
            <xdr:cNvPr id="10" name="Full_Name">
              <a:extLst>
                <a:ext uri="{FF2B5EF4-FFF2-40B4-BE49-F238E27FC236}">
                  <a16:creationId xmlns:a16="http://schemas.microsoft.com/office/drawing/2014/main" id="{83AB6FC3-0E19-4A3D-B589-91EDA8DE62C7}"/>
                </a:ext>
              </a:extLst>
            </xdr:cNvPr>
            <xdr:cNvGraphicFramePr/>
          </xdr:nvGraphicFramePr>
          <xdr:xfrm>
            <a:off x="0" y="0"/>
            <a:ext cx="0" cy="0"/>
          </xdr:xfrm>
          <a:graphic>
            <a:graphicData uri="http://schemas.microsoft.com/office/drawing/2010/slicer">
              <sle:slicer xmlns:sle="http://schemas.microsoft.com/office/drawing/2010/slicer" name="Full_Name"/>
            </a:graphicData>
          </a:graphic>
        </xdr:graphicFrame>
      </mc:Choice>
      <mc:Fallback xmlns="">
        <xdr:sp macro="" textlink="">
          <xdr:nvSpPr>
            <xdr:cNvPr id="0" name=""/>
            <xdr:cNvSpPr>
              <a:spLocks noTextEdit="1"/>
            </xdr:cNvSpPr>
          </xdr:nvSpPr>
          <xdr:spPr>
            <a:xfrm>
              <a:off x="12304295" y="1853147"/>
              <a:ext cx="2246597" cy="1443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681790</xdr:colOff>
      <xdr:row>16</xdr:row>
      <xdr:rowOff>84218</xdr:rowOff>
    </xdr:from>
    <xdr:to>
      <xdr:col>16</xdr:col>
      <xdr:colOff>88232</xdr:colOff>
      <xdr:row>37</xdr:row>
      <xdr:rowOff>136357</xdr:rowOff>
    </xdr:to>
    <xdr:graphicFrame macro="">
      <xdr:nvGraphicFramePr>
        <xdr:cNvPr id="13" name="Chart 12">
          <a:extLst>
            <a:ext uri="{FF2B5EF4-FFF2-40B4-BE49-F238E27FC236}">
              <a16:creationId xmlns:a16="http://schemas.microsoft.com/office/drawing/2014/main" id="{D7D2310E-D39D-51AB-8A44-D1414A61CC5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53144</xdr:colOff>
      <xdr:row>5</xdr:row>
      <xdr:rowOff>189997</xdr:rowOff>
    </xdr:from>
    <xdr:to>
      <xdr:col>8</xdr:col>
      <xdr:colOff>27074</xdr:colOff>
      <xdr:row>11</xdr:row>
      <xdr:rowOff>133348</xdr:rowOff>
    </xdr:to>
    <mc:AlternateContent xmlns:mc="http://schemas.openxmlformats.org/markup-compatibility/2006" xmlns:a14="http://schemas.microsoft.com/office/drawing/2010/main">
      <mc:Choice Requires="a14">
        <xdr:graphicFrame macro="">
          <xdr:nvGraphicFramePr>
            <xdr:cNvPr id="5" name="Referred">
              <a:extLst>
                <a:ext uri="{FF2B5EF4-FFF2-40B4-BE49-F238E27FC236}">
                  <a16:creationId xmlns:a16="http://schemas.microsoft.com/office/drawing/2014/main" id="{7657D13F-43BC-9837-411B-BA812C903FCA}"/>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mlns="">
        <xdr:sp macro="" textlink="">
          <xdr:nvSpPr>
            <xdr:cNvPr id="0" name=""/>
            <xdr:cNvSpPr>
              <a:spLocks noTextEdit="1"/>
            </xdr:cNvSpPr>
          </xdr:nvSpPr>
          <xdr:spPr>
            <a:xfrm>
              <a:off x="4071691" y="1353050"/>
              <a:ext cx="1489909" cy="1218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Mehta" refreshedDate="45911.875632175928" createdVersion="8" refreshedVersion="8" minRefreshableVersion="3" recordCount="35" xr:uid="{2D80740F-EF8D-4515-ADDA-A6F6FBFA761B}">
  <cacheSource type="worksheet">
    <worksheetSource ref="B1:N36" sheet="Data"/>
  </cacheSource>
  <cacheFields count="15">
    <cacheField name="Full_Name" numFmtId="0">
      <sharedItems/>
    </cacheField>
    <cacheField name="Age" numFmtId="0">
      <sharedItems containsSemiMixedTypes="0" containsString="0" containsNumber="1" containsInteger="1" minValue="19" maxValue="59" count="26">
        <n v="59"/>
        <n v="27"/>
        <n v="24"/>
        <n v="31"/>
        <n v="19"/>
        <n v="40"/>
        <n v="41"/>
        <n v="43"/>
        <n v="42"/>
        <n v="37"/>
        <n v="48"/>
        <n v="36"/>
        <n v="39"/>
        <n v="44"/>
        <n v="35"/>
        <n v="56"/>
        <n v="28"/>
        <n v="57"/>
        <n v="26"/>
        <n v="25"/>
        <n v="53"/>
        <n v="29"/>
        <n v="52"/>
        <n v="20"/>
        <n v="22"/>
        <n v="23"/>
      </sharedItems>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 name="Age Group" numFmtId="0" formula="_xlfn.IFS((Age&gt;=8)*(Age&lt;=30),&quot;Youth&quot;,(Age&gt;=31)*(Age&lt;=45),&quot;Adults&quot;,Age&gt;=46,&quot;Seniors&quot;)" databaseField="0"/>
    <cacheField name="Group" numFmtId="0" formula="IF(Age&lt;=30,&quot;Youth&quot;,IF(Age&lt;=45,&quot;Adult&quot;,&quot;Seniors&quo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Mehta" refreshedDate="45913.631697685189" createdVersion="8" refreshedVersion="8" minRefreshableVersion="3" recordCount="35" xr:uid="{950A4587-D762-49DE-A754-6E761CE30160}">
  <cacheSource type="worksheet">
    <worksheetSource ref="B1:O36" sheet="Data"/>
  </cacheSource>
  <cacheFields count="14">
    <cacheField name="Full_Name" numFmtId="0">
      <sharedItems count="35">
        <s v="Anay Shanker"/>
        <s v="Parinaaz Shanker"/>
        <s v="Aniruddh Batra"/>
        <s v="Madhup Kapur"/>
        <s v="Rasha Kakar"/>
        <s v="Ehsaan Batra"/>
        <s v="Zara Bains"/>
        <s v="Uthkarsh Baral"/>
        <s v="Kashvi Char"/>
        <s v="Dhanush Varma"/>
        <s v="Ishaan Goyal"/>
        <s v="Mahika Ravi"/>
        <s v="Purab Reddy"/>
        <s v="Tiya Soni"/>
        <s v="Zara Dugar"/>
        <s v="Lakshit Mander"/>
        <s v="Neysa Krish"/>
        <s v="Prerak Boase"/>
        <s v="Siya Master"/>
        <s v="Madhup Biswas"/>
        <s v="Indrans Ratti"/>
        <s v="Kimaya Balay"/>
        <s v="Eva Dass"/>
        <s v="Pihu Wali"/>
        <s v="Tiya Rege"/>
        <s v="Aarav Sen"/>
        <s v="Dishani Bera"/>
        <s v="Indrans Grover"/>
        <s v="Kismat Edwin"/>
        <s v="Taran Vyas"/>
        <s v="Jiya Baral"/>
        <s v="Gokul Sahni"/>
        <s v="Prerak Lalla"/>
        <s v="Hrishita Shroff"/>
        <s v="Oorja Sachar"/>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m/>
        <s v="Nitara Comar"/>
        <s v="Ranbir Karan"/>
        <s v="Rati Sanghvi"/>
        <s v="Ishaan Kashyap"/>
        <s v="Tanya Bajwa"/>
        <s v="Adira Brar"/>
        <s v="Nakul Balakrishnan"/>
        <s v="Darshit Sidhu"/>
        <s v="Riya Dugal"/>
      </sharedItems>
    </cacheField>
    <cacheField name="Membership_Duration_Months" numFmtId="0">
      <sharedItems containsSemiMixedTypes="0" containsString="0" containsNumber="1" containsInteger="1" minValue="0" maxValue="18" count="15">
        <n v="6"/>
        <n v="0"/>
        <n v="3"/>
        <n v="7"/>
        <n v="2"/>
        <n v="5"/>
        <n v="13"/>
        <n v="1"/>
        <n v="11"/>
        <n v="14"/>
        <n v="10"/>
        <n v="17"/>
        <n v="9"/>
        <n v="18"/>
        <n v="4"/>
      </sharedItems>
    </cacheField>
    <cacheField name="Referred" numFmtId="0">
      <sharedItems count="2">
        <s v="Yes"/>
        <s v="No"/>
      </sharedItems>
    </cacheField>
    <cacheField name="Total_Revenue" numFmtId="0">
      <sharedItems containsSemiMixedTypes="0" containsString="0" containsNumber="1" containsInteger="1" minValue="0" maxValue="35000"/>
    </cacheField>
    <cacheField name="Age Group" numFmtId="0">
      <sharedItems count="3">
        <s v="Seniors"/>
        <s v="Youth"/>
        <s v="Adults"/>
      </sharedItems>
    </cacheField>
  </cacheFields>
  <extLst>
    <ext xmlns:x14="http://schemas.microsoft.com/office/spreadsheetml/2009/9/main" uri="{725AE2AE-9491-48be-B2B4-4EB974FC3084}">
      <x14:pivotCacheDefinition pivotCacheId="192793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x v="0"/>
    <x v="0"/>
    <x v="0"/>
    <d v="2023-11-05T00:00:00"/>
    <d v="2024-05-13T00:00:00"/>
    <n v="800"/>
    <n v="25"/>
    <x v="0"/>
    <s v="Hiran Shan"/>
    <n v="6"/>
    <x v="0"/>
    <n v="4800"/>
  </r>
  <r>
    <s v="Parinaaz Shanker"/>
    <x v="1"/>
    <x v="0"/>
    <x v="0"/>
    <d v="2025-02-26T00:00:00"/>
    <d v="2025-03-24T00:00:00"/>
    <n v="800"/>
    <n v="20"/>
    <x v="1"/>
    <s v="Kiara Kakar"/>
    <n v="0"/>
    <x v="0"/>
    <n v="0"/>
  </r>
  <r>
    <s v="Aniruddh Batra"/>
    <x v="2"/>
    <x v="0"/>
    <x v="1"/>
    <d v="2023-09-22T00:00:00"/>
    <d v="2024-03-20T00:00:00"/>
    <n v="1200"/>
    <n v="18"/>
    <x v="2"/>
    <s v="Jhanvi Chaudhary"/>
    <n v="6"/>
    <x v="0"/>
    <n v="7200"/>
  </r>
  <r>
    <s v="Madhup Kapur"/>
    <x v="3"/>
    <x v="1"/>
    <x v="1"/>
    <d v="2024-07-06T00:00:00"/>
    <d v="2024-10-22T00:00:00"/>
    <n v="1200"/>
    <n v="16"/>
    <x v="2"/>
    <s v="Tara Swaminathan"/>
    <n v="3"/>
    <x v="0"/>
    <n v="3600"/>
  </r>
  <r>
    <s v="Rasha Kakar"/>
    <x v="4"/>
    <x v="0"/>
    <x v="2"/>
    <d v="2023-12-26T00:00:00"/>
    <d v="2024-07-28T00:00:00"/>
    <n v="2500"/>
    <n v="12"/>
    <x v="0"/>
    <s v="Madhav Singh"/>
    <n v="7"/>
    <x v="0"/>
    <n v="17500"/>
  </r>
  <r>
    <s v="Ehsaan Batra"/>
    <x v="5"/>
    <x v="0"/>
    <x v="0"/>
    <d v="2024-01-26T00:00:00"/>
    <d v="2024-04-10T00:00:00"/>
    <n v="800"/>
    <n v="14"/>
    <x v="3"/>
    <s v="Shray Ramakrishnan"/>
    <n v="2"/>
    <x v="0"/>
    <n v="1600"/>
  </r>
  <r>
    <s v="Zara Bains"/>
    <x v="6"/>
    <x v="1"/>
    <x v="0"/>
    <d v="2024-10-23T00:00:00"/>
    <d v="2025-01-20T00:00:00"/>
    <n v="800"/>
    <n v="25"/>
    <x v="1"/>
    <m/>
    <n v="2"/>
    <x v="1"/>
    <n v="1600"/>
  </r>
  <r>
    <s v="Uthkarsh Baral"/>
    <x v="7"/>
    <x v="0"/>
    <x v="3"/>
    <d v="2024-06-07T00:00:00"/>
    <d v="2024-09-28T00:00:00"/>
    <n v="1800"/>
    <n v="28"/>
    <x v="4"/>
    <m/>
    <n v="3"/>
    <x v="1"/>
    <n v="5400"/>
  </r>
  <r>
    <s v="Kashvi Char"/>
    <x v="8"/>
    <x v="0"/>
    <x v="0"/>
    <d v="2024-10-04T00:00:00"/>
    <d v="2024-10-17T00:00:00"/>
    <n v="800"/>
    <n v="3"/>
    <x v="4"/>
    <s v="Nitara Comar"/>
    <n v="0"/>
    <x v="0"/>
    <n v="0"/>
  </r>
  <r>
    <s v="Dhanush Varma"/>
    <x v="9"/>
    <x v="0"/>
    <x v="1"/>
    <d v="2023-10-03T00:00:00"/>
    <d v="2023-12-20T00:00:00"/>
    <n v="1200"/>
    <n v="29"/>
    <x v="3"/>
    <s v="Ranbir Karan"/>
    <n v="2"/>
    <x v="0"/>
    <n v="2400"/>
  </r>
  <r>
    <s v="Ishaan Goyal"/>
    <x v="10"/>
    <x v="1"/>
    <x v="1"/>
    <d v="2024-01-06T00:00:00"/>
    <d v="2024-06-16T00:00:00"/>
    <n v="1200"/>
    <n v="13"/>
    <x v="0"/>
    <s v="Rati Sanghvi"/>
    <n v="5"/>
    <x v="0"/>
    <n v="6000"/>
  </r>
  <r>
    <s v="Mahika Ravi"/>
    <x v="11"/>
    <x v="0"/>
    <x v="1"/>
    <d v="2023-08-16T00:00:00"/>
    <d v="2024-10-03T00:00:00"/>
    <n v="1200"/>
    <n v="19"/>
    <x v="4"/>
    <s v="Ishaan Kashyap"/>
    <n v="13"/>
    <x v="0"/>
    <n v="15600"/>
  </r>
  <r>
    <s v="Purab Reddy"/>
    <x v="10"/>
    <x v="1"/>
    <x v="3"/>
    <d v="2024-09-21T00:00:00"/>
    <d v="2024-12-15T00:00:00"/>
    <n v="1800"/>
    <n v="22"/>
    <x v="4"/>
    <m/>
    <n v="2"/>
    <x v="1"/>
    <n v="3600"/>
  </r>
  <r>
    <s v="Tiya Soni"/>
    <x v="12"/>
    <x v="0"/>
    <x v="1"/>
    <d v="2023-05-19T00:00:00"/>
    <d v="2023-11-12T00:00:00"/>
    <n v="1200"/>
    <n v="28"/>
    <x v="3"/>
    <m/>
    <n v="5"/>
    <x v="1"/>
    <n v="6000"/>
  </r>
  <r>
    <s v="Zara Dugar"/>
    <x v="13"/>
    <x v="1"/>
    <x v="0"/>
    <d v="2024-02-11T00:00:00"/>
    <d v="2024-09-05T00:00:00"/>
    <n v="800"/>
    <n v="8"/>
    <x v="2"/>
    <m/>
    <n v="6"/>
    <x v="1"/>
    <n v="4800"/>
  </r>
  <r>
    <s v="Lakshit Mander"/>
    <x v="12"/>
    <x v="0"/>
    <x v="2"/>
    <d v="2025-02-14T00:00:00"/>
    <d v="2025-03-16T00:00:00"/>
    <n v="2500"/>
    <n v="14"/>
    <x v="4"/>
    <m/>
    <n v="1"/>
    <x v="1"/>
    <n v="2500"/>
  </r>
  <r>
    <s v="Neysa Krish"/>
    <x v="14"/>
    <x v="0"/>
    <x v="1"/>
    <d v="2024-02-07T00:00:00"/>
    <d v="2025-01-28T00:00:00"/>
    <n v="1200"/>
    <n v="25"/>
    <x v="2"/>
    <m/>
    <n v="11"/>
    <x v="1"/>
    <n v="13200"/>
  </r>
  <r>
    <s v="Prerak Boase"/>
    <x v="15"/>
    <x v="1"/>
    <x v="2"/>
    <d v="2023-10-14T00:00:00"/>
    <d v="2024-12-23T00:00:00"/>
    <n v="2500"/>
    <n v="13"/>
    <x v="5"/>
    <m/>
    <n v="14"/>
    <x v="1"/>
    <n v="35000"/>
  </r>
  <r>
    <s v="Siya Master"/>
    <x v="1"/>
    <x v="1"/>
    <x v="0"/>
    <d v="2024-03-03T00:00:00"/>
    <d v="2025-01-07T00:00:00"/>
    <n v="800"/>
    <n v="26"/>
    <x v="3"/>
    <m/>
    <n v="10"/>
    <x v="1"/>
    <n v="8000"/>
  </r>
  <r>
    <s v="Madhup Biswas"/>
    <x v="16"/>
    <x v="0"/>
    <x v="2"/>
    <d v="2024-05-05T00:00:00"/>
    <d v="2024-11-12T00:00:00"/>
    <n v="2500"/>
    <n v="21"/>
    <x v="3"/>
    <s v="Tanya Bajwa"/>
    <n v="6"/>
    <x v="0"/>
    <n v="15000"/>
  </r>
  <r>
    <s v="Indrans Ratti"/>
    <x v="17"/>
    <x v="1"/>
    <x v="3"/>
    <d v="2023-08-08T00:00:00"/>
    <d v="2025-01-17T00:00:00"/>
    <n v="1800"/>
    <n v="19"/>
    <x v="3"/>
    <m/>
    <n v="17"/>
    <x v="1"/>
    <n v="30600"/>
  </r>
  <r>
    <s v="Kimaya Balay"/>
    <x v="18"/>
    <x v="1"/>
    <x v="3"/>
    <d v="2024-01-29T00:00:00"/>
    <d v="2024-11-20T00:00:00"/>
    <n v="1800"/>
    <n v="5"/>
    <x v="0"/>
    <m/>
    <n v="9"/>
    <x v="1"/>
    <n v="16200"/>
  </r>
  <r>
    <s v="Eva Dass"/>
    <x v="10"/>
    <x v="0"/>
    <x v="3"/>
    <d v="2024-06-08T00:00:00"/>
    <d v="2024-06-12T00:00:00"/>
    <n v="1800"/>
    <n v="18"/>
    <x v="5"/>
    <m/>
    <n v="0"/>
    <x v="1"/>
    <n v="0"/>
  </r>
  <r>
    <s v="Pihu Wali"/>
    <x v="19"/>
    <x v="1"/>
    <x v="1"/>
    <d v="2024-05-27T00:00:00"/>
    <d v="2025-03-14T00:00:00"/>
    <n v="1200"/>
    <n v="6"/>
    <x v="0"/>
    <m/>
    <n v="9"/>
    <x v="1"/>
    <n v="10800"/>
  </r>
  <r>
    <s v="Tiya Rege"/>
    <x v="20"/>
    <x v="0"/>
    <x v="3"/>
    <d v="2023-12-26T00:00:00"/>
    <d v="2024-03-21T00:00:00"/>
    <n v="1800"/>
    <n v="17"/>
    <x v="3"/>
    <s v="Adira Brar"/>
    <n v="2"/>
    <x v="0"/>
    <n v="3600"/>
  </r>
  <r>
    <s v="Aarav Sen"/>
    <x v="8"/>
    <x v="1"/>
    <x v="1"/>
    <d v="2025-02-14T00:00:00"/>
    <d v="2025-03-11T00:00:00"/>
    <n v="1200"/>
    <n v="3"/>
    <x v="5"/>
    <m/>
    <n v="0"/>
    <x v="1"/>
    <n v="0"/>
  </r>
  <r>
    <s v="Dishani Bera"/>
    <x v="2"/>
    <x v="0"/>
    <x v="2"/>
    <d v="2025-02-10T00:00:00"/>
    <d v="2025-03-10T00:00:00"/>
    <n v="2500"/>
    <n v="28"/>
    <x v="3"/>
    <m/>
    <n v="0"/>
    <x v="1"/>
    <n v="0"/>
  </r>
  <r>
    <s v="Indrans Grover"/>
    <x v="20"/>
    <x v="0"/>
    <x v="1"/>
    <d v="2024-11-18T00:00:00"/>
    <d v="2024-12-19T00:00:00"/>
    <n v="1200"/>
    <n v="23"/>
    <x v="1"/>
    <m/>
    <n v="1"/>
    <x v="1"/>
    <n v="1200"/>
  </r>
  <r>
    <s v="Kismat Edwin"/>
    <x v="21"/>
    <x v="1"/>
    <x v="2"/>
    <d v="2024-04-19T00:00:00"/>
    <d v="2024-04-26T00:00:00"/>
    <n v="2500"/>
    <n v="8"/>
    <x v="2"/>
    <m/>
    <n v="0"/>
    <x v="1"/>
    <n v="0"/>
  </r>
  <r>
    <s v="Taran Vyas"/>
    <x v="3"/>
    <x v="1"/>
    <x v="2"/>
    <d v="2025-01-10T00:00:00"/>
    <d v="2025-03-29T00:00:00"/>
    <n v="2500"/>
    <n v="23"/>
    <x v="4"/>
    <s v="Nakul Balakrishnan"/>
    <n v="2"/>
    <x v="0"/>
    <n v="5000"/>
  </r>
  <r>
    <s v="Jiya Baral"/>
    <x v="22"/>
    <x v="1"/>
    <x v="0"/>
    <d v="2023-06-11T00:00:00"/>
    <d v="2024-12-30T00:00:00"/>
    <n v="800"/>
    <n v="9"/>
    <x v="5"/>
    <s v="Darshit Sidhu"/>
    <n v="18"/>
    <x v="0"/>
    <n v="14400"/>
  </r>
  <r>
    <s v="Gokul Sahni"/>
    <x v="23"/>
    <x v="0"/>
    <x v="1"/>
    <d v="2024-04-09T00:00:00"/>
    <d v="2024-11-08T00:00:00"/>
    <n v="1200"/>
    <n v="2"/>
    <x v="3"/>
    <m/>
    <n v="7"/>
    <x v="1"/>
    <n v="8400"/>
  </r>
  <r>
    <s v="Prerak Lalla"/>
    <x v="24"/>
    <x v="0"/>
    <x v="0"/>
    <d v="2025-02-11T00:00:00"/>
    <d v="2025-03-24T00:00:00"/>
    <n v="800"/>
    <n v="30"/>
    <x v="3"/>
    <m/>
    <n v="1"/>
    <x v="1"/>
    <n v="800"/>
  </r>
  <r>
    <s v="Hrishita Shroff"/>
    <x v="25"/>
    <x v="0"/>
    <x v="3"/>
    <d v="2024-10-23T00:00:00"/>
    <d v="2025-03-05T00:00:00"/>
    <n v="1800"/>
    <n v="23"/>
    <x v="1"/>
    <s v="Riya Dugal"/>
    <n v="4"/>
    <x v="0"/>
    <n v="7200"/>
  </r>
  <r>
    <s v="Oorja Sachar"/>
    <x v="1"/>
    <x v="1"/>
    <x v="1"/>
    <d v="2024-01-21T00:00:00"/>
    <d v="2024-12-26T00:00:00"/>
    <n v="1200"/>
    <n v="27"/>
    <x v="1"/>
    <m/>
    <n v="11"/>
    <x v="1"/>
    <n v="13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59"/>
    <x v="0"/>
    <x v="0"/>
    <d v="2023-11-05T00:00:00"/>
    <d v="2024-05-13T00:00:00"/>
    <n v="800"/>
    <n v="25"/>
    <x v="0"/>
    <x v="0"/>
    <x v="0"/>
    <x v="0"/>
    <n v="4800"/>
    <x v="0"/>
  </r>
  <r>
    <x v="1"/>
    <n v="27"/>
    <x v="0"/>
    <x v="0"/>
    <d v="2025-02-26T00:00:00"/>
    <d v="2025-03-24T00:00:00"/>
    <n v="800"/>
    <n v="20"/>
    <x v="1"/>
    <x v="1"/>
    <x v="1"/>
    <x v="0"/>
    <n v="0"/>
    <x v="1"/>
  </r>
  <r>
    <x v="2"/>
    <n v="24"/>
    <x v="0"/>
    <x v="1"/>
    <d v="2023-09-22T00:00:00"/>
    <d v="2024-03-20T00:00:00"/>
    <n v="1200"/>
    <n v="18"/>
    <x v="2"/>
    <x v="2"/>
    <x v="0"/>
    <x v="0"/>
    <n v="7200"/>
    <x v="1"/>
  </r>
  <r>
    <x v="3"/>
    <n v="31"/>
    <x v="1"/>
    <x v="1"/>
    <d v="2024-07-06T00:00:00"/>
    <d v="2024-10-22T00:00:00"/>
    <n v="1200"/>
    <n v="16"/>
    <x v="2"/>
    <x v="3"/>
    <x v="2"/>
    <x v="0"/>
    <n v="3600"/>
    <x v="2"/>
  </r>
  <r>
    <x v="4"/>
    <n v="19"/>
    <x v="0"/>
    <x v="2"/>
    <d v="2023-12-26T00:00:00"/>
    <d v="2024-07-28T00:00:00"/>
    <n v="2500"/>
    <n v="12"/>
    <x v="0"/>
    <x v="4"/>
    <x v="3"/>
    <x v="0"/>
    <n v="17500"/>
    <x v="1"/>
  </r>
  <r>
    <x v="5"/>
    <n v="40"/>
    <x v="0"/>
    <x v="0"/>
    <d v="2024-01-26T00:00:00"/>
    <d v="2024-04-10T00:00:00"/>
    <n v="800"/>
    <n v="14"/>
    <x v="3"/>
    <x v="5"/>
    <x v="4"/>
    <x v="0"/>
    <n v="1600"/>
    <x v="2"/>
  </r>
  <r>
    <x v="6"/>
    <n v="41"/>
    <x v="1"/>
    <x v="0"/>
    <d v="2024-10-23T00:00:00"/>
    <d v="2025-01-20T00:00:00"/>
    <n v="800"/>
    <n v="25"/>
    <x v="1"/>
    <x v="6"/>
    <x v="4"/>
    <x v="1"/>
    <n v="1600"/>
    <x v="2"/>
  </r>
  <r>
    <x v="7"/>
    <n v="43"/>
    <x v="0"/>
    <x v="3"/>
    <d v="2024-06-07T00:00:00"/>
    <d v="2024-09-28T00:00:00"/>
    <n v="1800"/>
    <n v="28"/>
    <x v="4"/>
    <x v="6"/>
    <x v="2"/>
    <x v="1"/>
    <n v="5400"/>
    <x v="2"/>
  </r>
  <r>
    <x v="8"/>
    <n v="42"/>
    <x v="0"/>
    <x v="0"/>
    <d v="2024-10-04T00:00:00"/>
    <d v="2024-10-17T00:00:00"/>
    <n v="800"/>
    <n v="3"/>
    <x v="4"/>
    <x v="7"/>
    <x v="1"/>
    <x v="0"/>
    <n v="0"/>
    <x v="2"/>
  </r>
  <r>
    <x v="9"/>
    <n v="37"/>
    <x v="0"/>
    <x v="1"/>
    <d v="2023-10-03T00:00:00"/>
    <d v="2023-12-20T00:00:00"/>
    <n v="1200"/>
    <n v="29"/>
    <x v="3"/>
    <x v="8"/>
    <x v="4"/>
    <x v="0"/>
    <n v="2400"/>
    <x v="2"/>
  </r>
  <r>
    <x v="10"/>
    <n v="48"/>
    <x v="1"/>
    <x v="1"/>
    <d v="2024-01-06T00:00:00"/>
    <d v="2024-06-16T00:00:00"/>
    <n v="1200"/>
    <n v="13"/>
    <x v="0"/>
    <x v="9"/>
    <x v="5"/>
    <x v="0"/>
    <n v="6000"/>
    <x v="0"/>
  </r>
  <r>
    <x v="11"/>
    <n v="36"/>
    <x v="0"/>
    <x v="1"/>
    <d v="2023-08-16T00:00:00"/>
    <d v="2024-10-03T00:00:00"/>
    <n v="1200"/>
    <n v="19"/>
    <x v="4"/>
    <x v="10"/>
    <x v="6"/>
    <x v="0"/>
    <n v="15600"/>
    <x v="2"/>
  </r>
  <r>
    <x v="12"/>
    <n v="48"/>
    <x v="1"/>
    <x v="3"/>
    <d v="2024-09-21T00:00:00"/>
    <d v="2024-12-15T00:00:00"/>
    <n v="1800"/>
    <n v="22"/>
    <x v="4"/>
    <x v="6"/>
    <x v="4"/>
    <x v="1"/>
    <n v="3600"/>
    <x v="0"/>
  </r>
  <r>
    <x v="13"/>
    <n v="39"/>
    <x v="0"/>
    <x v="1"/>
    <d v="2023-05-19T00:00:00"/>
    <d v="2023-11-12T00:00:00"/>
    <n v="1200"/>
    <n v="28"/>
    <x v="3"/>
    <x v="6"/>
    <x v="5"/>
    <x v="1"/>
    <n v="6000"/>
    <x v="2"/>
  </r>
  <r>
    <x v="14"/>
    <n v="44"/>
    <x v="1"/>
    <x v="0"/>
    <d v="2024-02-11T00:00:00"/>
    <d v="2024-09-05T00:00:00"/>
    <n v="800"/>
    <n v="8"/>
    <x v="2"/>
    <x v="6"/>
    <x v="0"/>
    <x v="1"/>
    <n v="4800"/>
    <x v="2"/>
  </r>
  <r>
    <x v="15"/>
    <n v="39"/>
    <x v="0"/>
    <x v="2"/>
    <d v="2025-02-14T00:00:00"/>
    <d v="2025-03-16T00:00:00"/>
    <n v="2500"/>
    <n v="14"/>
    <x v="4"/>
    <x v="6"/>
    <x v="7"/>
    <x v="1"/>
    <n v="2500"/>
    <x v="2"/>
  </r>
  <r>
    <x v="16"/>
    <n v="35"/>
    <x v="0"/>
    <x v="1"/>
    <d v="2024-02-07T00:00:00"/>
    <d v="2025-01-28T00:00:00"/>
    <n v="1200"/>
    <n v="25"/>
    <x v="2"/>
    <x v="6"/>
    <x v="8"/>
    <x v="1"/>
    <n v="13200"/>
    <x v="2"/>
  </r>
  <r>
    <x v="17"/>
    <n v="56"/>
    <x v="1"/>
    <x v="2"/>
    <d v="2023-10-14T00:00:00"/>
    <d v="2024-12-23T00:00:00"/>
    <n v="2500"/>
    <n v="13"/>
    <x v="5"/>
    <x v="6"/>
    <x v="9"/>
    <x v="1"/>
    <n v="35000"/>
    <x v="0"/>
  </r>
  <r>
    <x v="18"/>
    <n v="27"/>
    <x v="1"/>
    <x v="0"/>
    <d v="2024-03-03T00:00:00"/>
    <d v="2025-01-07T00:00:00"/>
    <n v="800"/>
    <n v="26"/>
    <x v="3"/>
    <x v="6"/>
    <x v="10"/>
    <x v="1"/>
    <n v="8000"/>
    <x v="1"/>
  </r>
  <r>
    <x v="19"/>
    <n v="28"/>
    <x v="0"/>
    <x v="2"/>
    <d v="2024-05-05T00:00:00"/>
    <d v="2024-11-12T00:00:00"/>
    <n v="2500"/>
    <n v="21"/>
    <x v="3"/>
    <x v="11"/>
    <x v="0"/>
    <x v="0"/>
    <n v="15000"/>
    <x v="1"/>
  </r>
  <r>
    <x v="20"/>
    <n v="57"/>
    <x v="1"/>
    <x v="3"/>
    <d v="2023-08-08T00:00:00"/>
    <d v="2025-01-17T00:00:00"/>
    <n v="1800"/>
    <n v="19"/>
    <x v="3"/>
    <x v="6"/>
    <x v="11"/>
    <x v="1"/>
    <n v="30600"/>
    <x v="0"/>
  </r>
  <r>
    <x v="21"/>
    <n v="26"/>
    <x v="1"/>
    <x v="3"/>
    <d v="2024-01-29T00:00:00"/>
    <d v="2024-11-20T00:00:00"/>
    <n v="1800"/>
    <n v="5"/>
    <x v="0"/>
    <x v="6"/>
    <x v="12"/>
    <x v="1"/>
    <n v="16200"/>
    <x v="1"/>
  </r>
  <r>
    <x v="22"/>
    <n v="48"/>
    <x v="0"/>
    <x v="3"/>
    <d v="2024-06-08T00:00:00"/>
    <d v="2024-06-12T00:00:00"/>
    <n v="1800"/>
    <n v="18"/>
    <x v="5"/>
    <x v="6"/>
    <x v="1"/>
    <x v="1"/>
    <n v="0"/>
    <x v="0"/>
  </r>
  <r>
    <x v="23"/>
    <n v="25"/>
    <x v="1"/>
    <x v="1"/>
    <d v="2024-05-27T00:00:00"/>
    <d v="2025-03-14T00:00:00"/>
    <n v="1200"/>
    <n v="6"/>
    <x v="0"/>
    <x v="6"/>
    <x v="12"/>
    <x v="1"/>
    <n v="10800"/>
    <x v="1"/>
  </r>
  <r>
    <x v="24"/>
    <n v="53"/>
    <x v="0"/>
    <x v="3"/>
    <d v="2023-12-26T00:00:00"/>
    <d v="2024-03-21T00:00:00"/>
    <n v="1800"/>
    <n v="17"/>
    <x v="3"/>
    <x v="12"/>
    <x v="4"/>
    <x v="0"/>
    <n v="3600"/>
    <x v="0"/>
  </r>
  <r>
    <x v="25"/>
    <n v="42"/>
    <x v="1"/>
    <x v="1"/>
    <d v="2025-02-14T00:00:00"/>
    <d v="2025-03-11T00:00:00"/>
    <n v="1200"/>
    <n v="3"/>
    <x v="5"/>
    <x v="6"/>
    <x v="1"/>
    <x v="1"/>
    <n v="0"/>
    <x v="2"/>
  </r>
  <r>
    <x v="26"/>
    <n v="24"/>
    <x v="0"/>
    <x v="2"/>
    <d v="2025-02-10T00:00:00"/>
    <d v="2025-03-10T00:00:00"/>
    <n v="2500"/>
    <n v="28"/>
    <x v="3"/>
    <x v="6"/>
    <x v="1"/>
    <x v="1"/>
    <n v="0"/>
    <x v="1"/>
  </r>
  <r>
    <x v="27"/>
    <n v="53"/>
    <x v="0"/>
    <x v="1"/>
    <d v="2024-11-18T00:00:00"/>
    <d v="2024-12-19T00:00:00"/>
    <n v="1200"/>
    <n v="23"/>
    <x v="1"/>
    <x v="6"/>
    <x v="7"/>
    <x v="1"/>
    <n v="1200"/>
    <x v="0"/>
  </r>
  <r>
    <x v="28"/>
    <n v="29"/>
    <x v="1"/>
    <x v="2"/>
    <d v="2024-04-19T00:00:00"/>
    <d v="2024-04-26T00:00:00"/>
    <n v="2500"/>
    <n v="8"/>
    <x v="2"/>
    <x v="6"/>
    <x v="1"/>
    <x v="1"/>
    <n v="0"/>
    <x v="1"/>
  </r>
  <r>
    <x v="29"/>
    <n v="31"/>
    <x v="1"/>
    <x v="2"/>
    <d v="2025-01-10T00:00:00"/>
    <d v="2025-03-29T00:00:00"/>
    <n v="2500"/>
    <n v="23"/>
    <x v="4"/>
    <x v="13"/>
    <x v="4"/>
    <x v="0"/>
    <n v="5000"/>
    <x v="2"/>
  </r>
  <r>
    <x v="30"/>
    <n v="52"/>
    <x v="1"/>
    <x v="0"/>
    <d v="2023-06-11T00:00:00"/>
    <d v="2024-12-30T00:00:00"/>
    <n v="800"/>
    <n v="9"/>
    <x v="5"/>
    <x v="14"/>
    <x v="13"/>
    <x v="0"/>
    <n v="14400"/>
    <x v="0"/>
  </r>
  <r>
    <x v="31"/>
    <n v="20"/>
    <x v="0"/>
    <x v="1"/>
    <d v="2024-04-09T00:00:00"/>
    <d v="2024-11-08T00:00:00"/>
    <n v="1200"/>
    <n v="2"/>
    <x v="3"/>
    <x v="6"/>
    <x v="3"/>
    <x v="1"/>
    <n v="8400"/>
    <x v="1"/>
  </r>
  <r>
    <x v="32"/>
    <n v="22"/>
    <x v="0"/>
    <x v="0"/>
    <d v="2025-02-11T00:00:00"/>
    <d v="2025-03-24T00:00:00"/>
    <n v="800"/>
    <n v="30"/>
    <x v="3"/>
    <x v="6"/>
    <x v="7"/>
    <x v="1"/>
    <n v="800"/>
    <x v="1"/>
  </r>
  <r>
    <x v="33"/>
    <n v="23"/>
    <x v="0"/>
    <x v="3"/>
    <d v="2024-10-23T00:00:00"/>
    <d v="2025-03-05T00:00:00"/>
    <n v="1800"/>
    <n v="23"/>
    <x v="1"/>
    <x v="15"/>
    <x v="14"/>
    <x v="0"/>
    <n v="7200"/>
    <x v="1"/>
  </r>
  <r>
    <x v="34"/>
    <n v="27"/>
    <x v="1"/>
    <x v="1"/>
    <d v="2024-01-21T00:00:00"/>
    <d v="2024-12-26T00:00:00"/>
    <n v="1200"/>
    <n v="27"/>
    <x v="1"/>
    <x v="6"/>
    <x v="8"/>
    <x v="1"/>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59927-24ED-4FE7-912A-23F1B7A63393}"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J2:J3"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Min Revenue" fld="12" subtotal="min" baseField="0" baseItem="0" numFmtId="166"/>
  </dataFields>
  <formats count="16">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39285-3F2E-4A55-9B3F-C287902B4A77}"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I2:I3"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Max Revenue" fld="12" subtotal="max" baseField="0" baseItem="0" numFmtId="166"/>
  </dataFields>
  <formats count="16">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A7D04-E2F3-496E-917F-B3050E238919}"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H2:H3"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Total Revenue" fld="12" baseField="0" baseItem="0" numFmtId="166"/>
  </dataFields>
  <formats count="16">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74656-678E-4C21-8471-E224837DFA9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Memebership" colHeaderCaption="Gender">
  <location ref="B2:E8" firstHeaderRow="1" firstDataRow="2" firstDataCol="1"/>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axis="axisCol" showAll="0">
      <items count="3">
        <item x="1"/>
        <item x="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Fields count="1">
    <field x="3"/>
  </rowFields>
  <rowItems count="5">
    <i>
      <x v="1"/>
    </i>
    <i>
      <x v="2"/>
    </i>
    <i>
      <x v="3"/>
    </i>
    <i>
      <x/>
    </i>
    <i t="grand">
      <x/>
    </i>
  </rowItems>
  <colFields count="1">
    <field x="2"/>
  </colFields>
  <colItems count="3">
    <i>
      <x/>
    </i>
    <i>
      <x v="1"/>
    </i>
    <i t="grand">
      <x/>
    </i>
  </colItems>
  <dataFields count="1">
    <dataField name="Average Revenue" fld="12" subtotal="average" baseField="3" baseItem="1" numFmtId="165"/>
  </dataFields>
  <formats count="42">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2" type="button" dataOnly="0" labelOnly="1" outline="0" axis="axisCol" fieldPosition="0"/>
    </format>
    <format dxfId="183">
      <pivotArea type="topRight" dataOnly="0" labelOnly="1" outline="0" fieldPosition="0"/>
    </format>
    <format dxfId="182">
      <pivotArea field="3" type="button" dataOnly="0" labelOnly="1" outline="0" axis="axisRow" fieldPosition="0"/>
    </format>
    <format dxfId="181">
      <pivotArea dataOnly="0" labelOnly="1" fieldPosition="0">
        <references count="1">
          <reference field="3" count="0"/>
        </references>
      </pivotArea>
    </format>
    <format dxfId="180">
      <pivotArea dataOnly="0" labelOnly="1" grandRow="1" outline="0" fieldPosition="0"/>
    </format>
    <format dxfId="179">
      <pivotArea dataOnly="0" labelOnly="1" fieldPosition="0">
        <references count="1">
          <reference field="2" count="0"/>
        </references>
      </pivotArea>
    </format>
    <format dxfId="178">
      <pivotArea dataOnly="0" labelOnly="1" grandCol="1" outline="0" fieldPosition="0"/>
    </format>
    <format dxfId="177">
      <pivotArea type="all" dataOnly="0" outline="0" fieldPosition="0"/>
    </format>
    <format dxfId="176">
      <pivotArea outline="0" collapsedLevelsAreSubtotals="1" fieldPosition="0"/>
    </format>
    <format dxfId="175">
      <pivotArea type="origin" dataOnly="0" labelOnly="1" outline="0" fieldPosition="0"/>
    </format>
    <format dxfId="174">
      <pivotArea field="2" type="button" dataOnly="0" labelOnly="1" outline="0" axis="axisCol" fieldPosition="0"/>
    </format>
    <format dxfId="173">
      <pivotArea type="topRight" dataOnly="0" labelOnly="1" outline="0" fieldPosition="0"/>
    </format>
    <format dxfId="172">
      <pivotArea field="3" type="button" dataOnly="0" labelOnly="1" outline="0" axis="axisRow" fieldPosition="0"/>
    </format>
    <format dxfId="171">
      <pivotArea dataOnly="0" labelOnly="1" fieldPosition="0">
        <references count="1">
          <reference field="3" count="0"/>
        </references>
      </pivotArea>
    </format>
    <format dxfId="170">
      <pivotArea dataOnly="0" labelOnly="1" grandRow="1" outline="0" fieldPosition="0"/>
    </format>
    <format dxfId="169">
      <pivotArea dataOnly="0" labelOnly="1" fieldPosition="0">
        <references count="1">
          <reference field="2" count="0"/>
        </references>
      </pivotArea>
    </format>
    <format dxfId="168">
      <pivotArea dataOnly="0" labelOnly="1" grandCol="1" outline="0" fieldPosition="0"/>
    </format>
    <format dxfId="167">
      <pivotArea grandRow="1" outline="0" collapsedLevelsAreSubtotals="1" fieldPosition="0"/>
    </format>
    <format dxfId="166">
      <pivotArea dataOnly="0" labelOnly="1" grandRow="1" outline="0" fieldPosition="0"/>
    </format>
    <format dxfId="165">
      <pivotArea type="all" dataOnly="0" outline="0" fieldPosition="0"/>
    </format>
    <format dxfId="164">
      <pivotArea outline="0" collapsedLevelsAreSubtotals="1" fieldPosition="0"/>
    </format>
    <format dxfId="163">
      <pivotArea field="2" type="button" dataOnly="0" labelOnly="1" outline="0" axis="axisCol" fieldPosition="0"/>
    </format>
    <format dxfId="162">
      <pivotArea dataOnly="0" labelOnly="1" fieldPosition="0">
        <references count="1">
          <reference field="2" count="0"/>
        </references>
      </pivotArea>
    </format>
    <format dxfId="161">
      <pivotArea type="all" dataOnly="0" outline="0" fieldPosition="0"/>
    </format>
    <format dxfId="160">
      <pivotArea outline="0" collapsedLevelsAreSubtotals="1" fieldPosition="0"/>
    </format>
    <format dxfId="159">
      <pivotArea field="2" type="button" dataOnly="0" labelOnly="1" outline="0" axis="axisCol" fieldPosition="0"/>
    </format>
    <format dxfId="158">
      <pivotArea dataOnly="0" labelOnly="1" fieldPosition="0">
        <references count="1">
          <reference field="3" count="0"/>
        </references>
      </pivotArea>
    </format>
    <format dxfId="157">
      <pivotArea dataOnly="0" labelOnly="1" fieldPosition="0">
        <references count="1">
          <reference field="2" count="0"/>
        </references>
      </pivotArea>
    </format>
    <format dxfId="156">
      <pivotArea dataOnly="0" labelOnly="1" grandCol="1" outline="0" fieldPosition="0"/>
    </format>
    <format dxfId="155">
      <pivotArea type="origin" dataOnly="0" labelOnly="1" outline="0" fieldPosition="0"/>
    </format>
    <format dxfId="154">
      <pivotArea field="3" type="button" dataOnly="0" labelOnly="1" outline="0" axis="axisRow" fieldPosition="0"/>
    </format>
    <format dxfId="153">
      <pivotArea type="topRight" dataOnly="0" labelOnly="1" outline="0" fieldPosition="0"/>
    </format>
    <format dxfId="152">
      <pivotArea dataOnly="0" labelOnly="1" fieldPosition="0">
        <references count="1">
          <reference field="3" count="1">
            <x v="1"/>
          </reference>
        </references>
      </pivotArea>
    </format>
    <format dxfId="151">
      <pivotArea dataOnly="0" labelOnly="1" fieldPosition="0">
        <references count="1">
          <reference field="3" count="1">
            <x v="2"/>
          </reference>
        </references>
      </pivotArea>
    </format>
    <format dxfId="150">
      <pivotArea dataOnly="0" labelOnly="1" fieldPosition="0">
        <references count="1">
          <reference field="3" count="1">
            <x v="3"/>
          </reference>
        </references>
      </pivotArea>
    </format>
    <format dxfId="149">
      <pivotArea dataOnly="0" labelOnly="1" fieldPosition="0">
        <references count="1">
          <reference field="3" count="1">
            <x v="0"/>
          </reference>
        </references>
      </pivotArea>
    </format>
    <format dxfId="148">
      <pivotArea dataOnly="0" labelOnly="1" fieldPosition="0">
        <references count="1">
          <reference field="3" count="0"/>
        </references>
      </pivotArea>
    </format>
    <format dxfId="147">
      <pivotArea dataOnly="0" labelOnly="1" grandRow="1" outline="0" fieldPosition="0"/>
    </format>
    <format dxfId="146">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A149C-0008-4EFB-9905-D465EE427BC3}" name="PivotTable1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0" rowHeaderCaption="Membership">
  <location ref="M2:P7" firstHeaderRow="0" firstDataRow="1" firstDataCol="1"/>
  <pivotFields count="14">
    <pivotField dataField="1" compact="0" outline="0"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dataField="1" compact="0" outline="0" showAll="0"/>
    <pivotField compact="0" outline="0" showAll="0">
      <items count="3">
        <item x="1"/>
        <item x="0"/>
        <item t="default"/>
      </items>
    </pivotField>
    <pivotField name="Membership Type" axis="axisRow" compact="0" outline="0" showAll="0" defaultSubtotal="0">
      <items count="4">
        <item x="0"/>
        <item x="2"/>
        <item x="3"/>
        <item x="1"/>
      </items>
    </pivotField>
    <pivotField compact="0" numFmtId="164" outline="0" showAll="0"/>
    <pivotField compact="0" numFmtId="164" outline="0" showAll="0"/>
    <pivotField compact="0" outline="0" showAll="0"/>
    <pivotField compact="0" outline="0" showAll="0"/>
    <pivotField compact="0" outline="0" showAll="0">
      <items count="7">
        <item x="0"/>
        <item x="5"/>
        <item x="2"/>
        <item x="4"/>
        <item x="3"/>
        <item x="1"/>
        <item t="default"/>
      </items>
    </pivotField>
    <pivotField compact="0" outline="0" showAll="0">
      <items count="17">
        <item x="12"/>
        <item x="14"/>
        <item x="0"/>
        <item x="10"/>
        <item x="2"/>
        <item x="1"/>
        <item x="4"/>
        <item x="13"/>
        <item x="7"/>
        <item x="8"/>
        <item x="9"/>
        <item x="15"/>
        <item x="5"/>
        <item x="11"/>
        <item x="3"/>
        <item x="6"/>
        <item t="default"/>
      </items>
    </pivotField>
    <pivotField dataField="1" compact="0" outline="0" showAll="0">
      <items count="16">
        <item x="1"/>
        <item x="7"/>
        <item x="4"/>
        <item x="2"/>
        <item x="14"/>
        <item x="5"/>
        <item x="0"/>
        <item x="3"/>
        <item x="12"/>
        <item x="10"/>
        <item x="8"/>
        <item x="6"/>
        <item x="9"/>
        <item x="11"/>
        <item x="13"/>
        <item t="default"/>
      </items>
    </pivotField>
    <pivotField compact="0" outline="0" showAll="0">
      <items count="3">
        <item x="1"/>
        <item x="0"/>
        <item t="default"/>
      </items>
    </pivotField>
    <pivotField compact="0" outline="0" showAll="0"/>
    <pivotField compact="0" outline="0" showAll="0">
      <items count="4">
        <item x="2"/>
        <item x="0"/>
        <item x="1"/>
        <item t="default"/>
      </items>
    </pivotField>
  </pivotFields>
  <rowFields count="1">
    <field x="3"/>
  </rowFields>
  <rowItems count="5">
    <i>
      <x/>
    </i>
    <i>
      <x v="1"/>
    </i>
    <i>
      <x v="2"/>
    </i>
    <i>
      <x v="3"/>
    </i>
    <i t="grand">
      <x/>
    </i>
  </rowItems>
  <colFields count="1">
    <field x="-2"/>
  </colFields>
  <colItems count="3">
    <i>
      <x/>
    </i>
    <i i="1">
      <x v="1"/>
    </i>
    <i i="2">
      <x v="2"/>
    </i>
  </colItems>
  <dataFields count="3">
    <dataField name="Count " fld="0" subtotal="count" baseField="3" baseItem="0"/>
    <dataField name="Average Age" fld="1" subtotal="average" baseField="3" baseItem="0" numFmtId="1"/>
    <dataField name="Average Duration Months" fld="10" subtotal="average" baseField="3" baseItem="0" numFmtId="2"/>
  </dataFields>
  <formats count="35">
    <format dxfId="222">
      <pivotArea type="all" dataOnly="0" outline="0" fieldPosition="0"/>
    </format>
    <format dxfId="221">
      <pivotArea outline="0" collapsedLevelsAreSubtotals="1" fieldPosition="0"/>
    </format>
    <format dxfId="220">
      <pivotArea field="3" type="button" dataOnly="0" labelOnly="1" outline="0" axis="axisRow" fieldPosition="0"/>
    </format>
    <format dxfId="219">
      <pivotArea dataOnly="0" labelOnly="1" fieldPosition="0">
        <references count="1">
          <reference field="3" count="0"/>
        </references>
      </pivotArea>
    </format>
    <format dxfId="218">
      <pivotArea dataOnly="0" labelOnly="1" grandRow="1" outline="0" fieldPosition="0"/>
    </format>
    <format dxfId="217">
      <pivotArea dataOnly="0" labelOnly="1" outline="0" fieldPosition="0">
        <references count="1">
          <reference field="4294967294" count="2">
            <x v="0"/>
            <x v="1"/>
          </reference>
        </references>
      </pivotArea>
    </format>
    <format dxfId="216">
      <pivotArea type="all" dataOnly="0" outline="0" fieldPosition="0"/>
    </format>
    <format dxfId="215">
      <pivotArea outline="0" collapsedLevelsAreSubtotals="1" fieldPosition="0"/>
    </format>
    <format dxfId="214">
      <pivotArea field="3" type="button" dataOnly="0" labelOnly="1" outline="0" axis="axisRow" fieldPosition="0"/>
    </format>
    <format dxfId="213">
      <pivotArea dataOnly="0" labelOnly="1" outline="0" fieldPosition="0">
        <references count="1">
          <reference field="3" count="0"/>
        </references>
      </pivotArea>
    </format>
    <format dxfId="212">
      <pivotArea dataOnly="0" labelOnly="1" grandRow="1" outline="0" fieldPosition="0"/>
    </format>
    <format dxfId="211">
      <pivotArea dataOnly="0" labelOnly="1" outline="0" fieldPosition="0">
        <references count="1">
          <reference field="4294967294" count="2">
            <x v="0"/>
            <x v="1"/>
          </reference>
        </references>
      </pivotArea>
    </format>
    <format dxfId="210">
      <pivotArea outline="0" fieldPosition="0">
        <references count="1">
          <reference field="4294967294" count="1">
            <x v="2"/>
          </reference>
        </references>
      </pivotArea>
    </format>
    <format dxfId="209">
      <pivotArea type="all" dataOnly="0" outline="0" fieldPosition="0"/>
    </format>
    <format dxfId="208">
      <pivotArea outline="0" collapsedLevelsAreSubtotals="1" fieldPosition="0"/>
    </format>
    <format dxfId="207">
      <pivotArea field="3" type="button" dataOnly="0" labelOnly="1" outline="0" axis="axisRow" fieldPosition="0"/>
    </format>
    <format dxfId="206">
      <pivotArea dataOnly="0" labelOnly="1" outline="0" fieldPosition="0">
        <references count="1">
          <reference field="3" count="0"/>
        </references>
      </pivotArea>
    </format>
    <format dxfId="205">
      <pivotArea dataOnly="0" labelOnly="1" grandRow="1" outline="0" fieldPosition="0"/>
    </format>
    <format dxfId="204">
      <pivotArea dataOnly="0" labelOnly="1" outline="0" fieldPosition="0">
        <references count="1">
          <reference field="4294967294" count="3">
            <x v="0"/>
            <x v="1"/>
            <x v="2"/>
          </reference>
        </references>
      </pivotArea>
    </format>
    <format dxfId="203">
      <pivotArea type="all" dataOnly="0" outline="0" fieldPosition="0"/>
    </format>
    <format dxfId="202">
      <pivotArea outline="0" collapsedLevelsAreSubtotals="1" fieldPosition="0"/>
    </format>
    <format dxfId="201">
      <pivotArea dataOnly="0" labelOnly="1" outline="0" fieldPosition="0">
        <references count="1">
          <reference field="3" count="0"/>
        </references>
      </pivotArea>
    </format>
    <format dxfId="200">
      <pivotArea dataOnly="0" labelOnly="1" outline="0" fieldPosition="0">
        <references count="1">
          <reference field="4294967294" count="3">
            <x v="0"/>
            <x v="1"/>
            <x v="2"/>
          </reference>
        </references>
      </pivotArea>
    </format>
    <format dxfId="199">
      <pivotArea type="all" dataOnly="0" outline="0" fieldPosition="0"/>
    </format>
    <format dxfId="198">
      <pivotArea outline="0" collapsedLevelsAreSubtotals="1" fieldPosition="0"/>
    </format>
    <format dxfId="197">
      <pivotArea dataOnly="0" labelOnly="1" outline="0" fieldPosition="0">
        <references count="1">
          <reference field="3" count="0"/>
        </references>
      </pivotArea>
    </format>
    <format dxfId="196">
      <pivotArea dataOnly="0" labelOnly="1" outline="0" fieldPosition="0">
        <references count="1">
          <reference field="4294967294" count="3">
            <x v="0"/>
            <x v="1"/>
            <x v="2"/>
          </reference>
        </references>
      </pivotArea>
    </format>
    <format dxfId="195">
      <pivotArea field="3" type="button" dataOnly="0" labelOnly="1" outline="0" axis="axisRow" fieldPosition="0"/>
    </format>
    <format dxfId="194">
      <pivotArea dataOnly="0" labelOnly="1" outline="0" fieldPosition="0">
        <references count="1">
          <reference field="4294967294" count="1">
            <x v="2"/>
          </reference>
        </references>
      </pivotArea>
    </format>
    <format dxfId="193">
      <pivotArea dataOnly="0" labelOnly="1" outline="0" fieldPosition="0">
        <references count="1">
          <reference field="3" count="3">
            <x v="0"/>
            <x v="1"/>
            <x v="2"/>
          </reference>
        </references>
      </pivotArea>
    </format>
    <format dxfId="192">
      <pivotArea dataOnly="0" labelOnly="1" outline="0" fieldPosition="0">
        <references count="1">
          <reference field="3" count="3">
            <x v="0"/>
            <x v="1"/>
            <x v="2"/>
          </reference>
        </references>
      </pivotArea>
    </format>
    <format dxfId="191">
      <pivotArea dataOnly="0" labelOnly="1" outline="0" fieldPosition="0">
        <references count="1">
          <reference field="3" count="1">
            <x v="3"/>
          </reference>
        </references>
      </pivotArea>
    </format>
    <format dxfId="190">
      <pivotArea dataOnly="0" labelOnly="1" grandRow="1" outline="0" fieldPosition="0"/>
    </format>
    <format dxfId="189">
      <pivotArea dataOnly="0" labelOnly="1" outline="0" fieldPosition="0">
        <references count="1">
          <reference field="3" count="1">
            <x v="3"/>
          </reference>
        </references>
      </pivotArea>
    </format>
    <format dxfId="188">
      <pivotArea dataOnly="0" labelOnly="1" grandRow="1" outline="0" fieldPosition="0"/>
    </format>
  </formats>
  <chartFormats count="15">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pivotArea type="data" outline="0" fieldPosition="0">
        <references count="2">
          <reference field="4294967294" count="1" selected="0">
            <x v="0"/>
          </reference>
          <reference field="3" count="1" selected="0">
            <x v="0"/>
          </reference>
        </references>
      </pivotArea>
    </chartFormat>
    <chartFormat chart="35" format="3">
      <pivotArea type="data" outline="0" fieldPosition="0">
        <references count="2">
          <reference field="4294967294" count="1" selected="0">
            <x v="0"/>
          </reference>
          <reference field="3" count="1" selected="0">
            <x v="1"/>
          </reference>
        </references>
      </pivotArea>
    </chartFormat>
    <chartFormat chart="35" format="4">
      <pivotArea type="data" outline="0" fieldPosition="0">
        <references count="2">
          <reference field="4294967294" count="1" selected="0">
            <x v="0"/>
          </reference>
          <reference field="3" count="1" selected="0">
            <x v="2"/>
          </reference>
        </references>
      </pivotArea>
    </chartFormat>
    <chartFormat chart="35" format="5">
      <pivotArea type="data" outline="0" fieldPosition="0">
        <references count="2">
          <reference field="4294967294" count="1" selected="0">
            <x v="0"/>
          </reference>
          <reference field="3" count="1" selected="0">
            <x v="3"/>
          </reference>
        </references>
      </pivotArea>
    </chartFormat>
    <chartFormat chart="35" format="6">
      <pivotArea type="data" outline="0" fieldPosition="0">
        <references count="2">
          <reference field="4294967294" count="1" selected="0">
            <x v="1"/>
          </reference>
          <reference field="3" count="1" selected="0">
            <x v="0"/>
          </reference>
        </references>
      </pivotArea>
    </chartFormat>
    <chartFormat chart="35" format="7">
      <pivotArea type="data" outline="0" fieldPosition="0">
        <references count="2">
          <reference field="4294967294" count="1" selected="0">
            <x v="1"/>
          </reference>
          <reference field="3" count="1" selected="0">
            <x v="1"/>
          </reference>
        </references>
      </pivotArea>
    </chartFormat>
    <chartFormat chart="35" format="8">
      <pivotArea type="data" outline="0" fieldPosition="0">
        <references count="2">
          <reference field="4294967294" count="1" selected="0">
            <x v="1"/>
          </reference>
          <reference field="3" count="1" selected="0">
            <x v="2"/>
          </reference>
        </references>
      </pivotArea>
    </chartFormat>
    <chartFormat chart="35" format="9">
      <pivotArea type="data" outline="0" fieldPosition="0">
        <references count="2">
          <reference field="4294967294" count="1" selected="0">
            <x v="1"/>
          </reference>
          <reference field="3" count="1" selected="0">
            <x v="3"/>
          </reference>
        </references>
      </pivotArea>
    </chartFormat>
    <chartFormat chart="35" format="11" series="1">
      <pivotArea type="data" outline="0" fieldPosition="0">
        <references count="1">
          <reference field="4294967294" count="1" selected="0">
            <x v="2"/>
          </reference>
        </references>
      </pivotArea>
    </chartFormat>
    <chartFormat chart="35" format="12">
      <pivotArea type="data" outline="0" fieldPosition="0">
        <references count="2">
          <reference field="4294967294" count="1" selected="0">
            <x v="2"/>
          </reference>
          <reference field="3" count="1" selected="0">
            <x v="0"/>
          </reference>
        </references>
      </pivotArea>
    </chartFormat>
    <chartFormat chart="35" format="13">
      <pivotArea type="data" outline="0" fieldPosition="0">
        <references count="2">
          <reference field="4294967294" count="1" selected="0">
            <x v="2"/>
          </reference>
          <reference field="3" count="1" selected="0">
            <x v="1"/>
          </reference>
        </references>
      </pivotArea>
    </chartFormat>
    <chartFormat chart="35" format="14">
      <pivotArea type="data" outline="0" fieldPosition="0">
        <references count="2">
          <reference field="4294967294" count="1" selected="0">
            <x v="2"/>
          </reference>
          <reference field="3" count="1" selected="0">
            <x v="2"/>
          </reference>
        </references>
      </pivotArea>
    </chartFormat>
    <chartFormat chart="35" format="15">
      <pivotArea type="data" outline="0" fieldPosition="0">
        <references count="2">
          <reference field="4294967294" count="1" selected="0">
            <x v="2"/>
          </reference>
          <reference field="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9671E-32E0-422D-89CE-6BFAE1FF7CA6}"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K2:K3"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Count" fld="12" subtotal="count" baseField="0" baseItem="0" numFmtId="1"/>
  </dataFields>
  <formats count="17">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outline="0" collapsedLevelsAreSubtotals="1"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 dxfId="229">
      <pivotArea outline="0" fieldPosition="0">
        <references count="1">
          <reference field="4294967294" count="1">
            <x v="0"/>
          </reference>
        </references>
      </pivotArea>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77572E-7C8A-4C72-BF89-CAA342C2602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AgeGroup">
  <location ref="F15:J21" firstHeaderRow="1" firstDataRow="2" firstDataCol="1"/>
  <pivotFields count="14">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3"/>
  </rowFields>
  <rowItems count="5">
    <i>
      <x/>
    </i>
    <i>
      <x v="1"/>
    </i>
    <i>
      <x v="2"/>
    </i>
    <i>
      <x v="3"/>
    </i>
    <i t="grand">
      <x/>
    </i>
  </rowItems>
  <colFields count="1">
    <field x="13"/>
  </colFields>
  <colItems count="4">
    <i>
      <x/>
    </i>
    <i>
      <x v="1"/>
    </i>
    <i>
      <x v="2"/>
    </i>
    <i t="grand">
      <x/>
    </i>
  </colItems>
  <dataFields count="1">
    <dataField name="Age-Distribution" fld="13" subtotal="count" baseField="0" baseItem="0"/>
  </dataFields>
  <formats count="20">
    <format dxfId="26">
      <pivotArea type="all" dataOnly="0" outline="0" fieldPosition="0"/>
    </format>
    <format dxfId="25">
      <pivotArea outline="0" collapsedLevelsAreSubtotals="1" fieldPosition="0"/>
    </format>
    <format dxfId="24">
      <pivotArea type="origin" dataOnly="0" labelOnly="1" outline="0" fieldPosition="0"/>
    </format>
    <format dxfId="23">
      <pivotArea field="13" type="button" dataOnly="0" labelOnly="1" outline="0" axis="axisCol" fieldPosition="0"/>
    </format>
    <format dxfId="22">
      <pivotArea type="topRight" dataOnly="0" labelOnly="1" outline="0"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fieldPosition="0">
        <references count="1">
          <reference field="13" count="0"/>
        </references>
      </pivotArea>
    </format>
    <format dxfId="17">
      <pivotArea dataOnly="0" labelOnly="1" grandCol="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13" type="button" dataOnly="0" labelOnly="1" outline="0" axis="axisCol" fieldPosition="0"/>
    </format>
    <format dxfId="12">
      <pivotArea type="topRight" dataOnly="0" labelOnly="1" outline="0"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fieldPosition="0">
        <references count="1">
          <reference field="13" count="0"/>
        </references>
      </pivotArea>
    </format>
    <format dxfId="7">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DDF4DD-DD1D-4741-88F9-1669AA34AE95}"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ities" colHeaderCaption="Referred ">
  <location ref="F3:G10" firstHeaderRow="1" firstDataRow="1" firstDataCol="1"/>
  <pivotFields count="15">
    <pivotField showAll="0"/>
    <pivotField showAll="0"/>
    <pivotField showAll="0"/>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dataField="1" showAl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Items count="1">
    <i/>
  </colItems>
  <dataFields count="1">
    <dataField name="Sum of Total_Revenue" fld="12" baseField="0" baseItem="0"/>
  </dataFields>
  <formats count="21">
    <format dxfId="47">
      <pivotArea outline="0" collapsedLevelsAreSubtotals="1" fieldPosition="0"/>
    </format>
    <format dxfId="46">
      <pivotArea dataOnly="0" labelOnly="1" outline="0" axis="axisValues"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A1D1D6-6A14-4591-872E-4C4EBAB2085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olHeaderCaption="Referred ">
  <location ref="B3:D5" firstHeaderRow="1" firstDataRow="2" firstDataCol="1"/>
  <pivotFields count="15">
    <pivotField showAll="0"/>
    <pivotField showAll="0"/>
    <pivotField showAll="0"/>
    <pivotField showAll="0">
      <items count="5">
        <item x="0"/>
        <item x="2"/>
        <item x="3"/>
        <item x="1"/>
        <item t="default"/>
      </items>
    </pivotField>
    <pivotField numFmtId="164" showAll="0"/>
    <pivotField numFmtId="164" showAll="0"/>
    <pivotField dataField="1" showAll="0"/>
    <pivotField showAll="0"/>
    <pivotField showAll="0"/>
    <pivotField showAll="0"/>
    <pivotField showAll="0"/>
    <pivotField axis="axisCol" showAll="0">
      <items count="3">
        <item x="1"/>
        <item x="0"/>
        <item t="default"/>
      </items>
    </pivotField>
    <pivotField showAll="0"/>
    <pivotField dragToRow="0" dragToCol="0" dragToPage="0" showAll="0" defaultSubtotal="0"/>
    <pivotField dragToRow="0" dragToCol="0" dragToPage="0" showAll="0" defaultSubtotal="0"/>
  </pivotFields>
  <rowItems count="1">
    <i/>
  </rowItems>
  <colFields count="1">
    <field x="11"/>
  </colFields>
  <colItems count="2">
    <i>
      <x/>
    </i>
    <i>
      <x v="1"/>
    </i>
  </colItems>
  <dataFields count="1">
    <dataField name="Average of Monthly Fee" fld="6" subtotal="average" baseField="11" baseItem="0" numFmtId="2"/>
  </dataFields>
  <formats count="23">
    <format dxfId="70">
      <pivotArea outline="0" collapsedLevelsAreSubtotals="1" fieldPosition="0"/>
    </format>
    <format dxfId="69">
      <pivotArea dataOnly="0" labelOnly="1" outline="0" axis="axisValues"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type="origin" dataOnly="0" labelOnly="1" outline="0" offset="A1" fieldPosition="0"/>
    </format>
    <format dxfId="63">
      <pivotArea dataOnly="0" labelOnly="1" outline="0" axis="axisValues" fieldPosition="0"/>
    </format>
    <format dxfId="62">
      <pivotArea field="11" type="button" dataOnly="0" labelOnly="1" outline="0" axis="axisCol" fieldPosition="0"/>
    </format>
    <format dxfId="61">
      <pivotArea type="topRight" dataOnly="0" labelOnly="1" outline="0" fieldPosition="0"/>
    </format>
    <format dxfId="60">
      <pivotArea type="origin" dataOnly="0" labelOnly="1" outline="0" offset="A2" fieldPosition="0"/>
    </format>
    <format dxfId="59">
      <pivotArea dataOnly="0" labelOnly="1" fieldPosition="0">
        <references count="1">
          <reference field="11" count="0"/>
        </references>
      </pivotArea>
    </format>
    <format dxfId="58">
      <pivotArea type="all" dataOnly="0" outline="0" fieldPosition="0"/>
    </format>
    <format dxfId="57">
      <pivotArea outline="0" collapsedLevelsAreSubtotals="1" fieldPosition="0"/>
    </format>
    <format dxfId="56">
      <pivotArea type="origin" dataOnly="0" labelOnly="1" outline="0" offset="A1" fieldPosition="0"/>
    </format>
    <format dxfId="55">
      <pivotArea dataOnly="0" labelOnly="1" outline="0" axis="axisValues" fieldPosition="0"/>
    </format>
    <format dxfId="54">
      <pivotArea field="11" type="button" dataOnly="0" labelOnly="1" outline="0" axis="axisCol" fieldPosition="0"/>
    </format>
    <format dxfId="53">
      <pivotArea type="topRight" dataOnly="0" labelOnly="1" outline="0" fieldPosition="0"/>
    </format>
    <format dxfId="52">
      <pivotArea type="origin" dataOnly="0" labelOnly="1" outline="0" offset="A2" fieldPosition="0"/>
    </format>
    <format dxfId="51">
      <pivotArea dataOnly="0" labelOnly="1" fieldPosition="0">
        <references count="1">
          <reference field="11" count="0"/>
        </references>
      </pivotArea>
    </format>
    <format dxfId="50">
      <pivotArea outline="0" collapsedLevelsAreSubtotals="1" fieldPosition="0">
        <references count="1">
          <reference field="11" count="1" selected="0">
            <x v="1"/>
          </reference>
        </references>
      </pivotArea>
    </format>
    <format dxfId="49">
      <pivotArea type="topRight" dataOnly="0" labelOnly="1" outline="0" fieldPosition="0"/>
    </format>
    <format dxfId="48">
      <pivotArea dataOnly="0" labelOnly="1" fieldPosition="0">
        <references count="1">
          <reference field="11" count="1">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1F2D7A-9BDF-4A4D-8B63-76A61718905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ities" colHeaderCaption="Gender">
  <location ref="B15:D23" firstHeaderRow="1" firstDataRow="2" firstDataCol="1"/>
  <pivotFields count="15">
    <pivotField dataField="1" showAll="0"/>
    <pivotField showAll="0"/>
    <pivotField axis="axisCol" showAll="0">
      <items count="3">
        <item x="1"/>
        <item x="0"/>
        <item t="default"/>
      </items>
    </pivotField>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showAl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Fields count="1">
    <field x="2"/>
  </colFields>
  <colItems count="2">
    <i>
      <x/>
    </i>
    <i>
      <x v="1"/>
    </i>
  </colItems>
  <dataFields count="1">
    <dataField name="GenderWise Breakdown" fld="0" subtotal="count" baseField="0" baseItem="0"/>
  </dataFields>
  <formats count="27">
    <format dxfId="97">
      <pivotArea outline="0" collapsedLevelsAreSubtotals="1" fieldPosition="0"/>
    </format>
    <format dxfId="96">
      <pivotArea dataOnly="0" labelOnly="1" outline="0" axis="axisValues"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8" type="button" dataOnly="0" labelOnly="1" outline="0" axis="axisRow" fieldPosition="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2" type="button" dataOnly="0" labelOnly="1" outline="0" axis="axisCol" fieldPosition="0"/>
    </format>
    <format dxfId="84">
      <pivotArea type="topRight" dataOnly="0" labelOnly="1" outline="0" fieldPosition="0"/>
    </format>
    <format dxfId="83">
      <pivotArea field="8" type="button" dataOnly="0" labelOnly="1" outline="0" axis="axisRow" fieldPosition="0"/>
    </format>
    <format dxfId="82">
      <pivotArea dataOnly="0" labelOnly="1" fieldPosition="0">
        <references count="1">
          <reference field="8" count="0"/>
        </references>
      </pivotArea>
    </format>
    <format dxfId="81">
      <pivotArea dataOnly="0" labelOnly="1" grandRow="1" outline="0" fieldPosition="0"/>
    </format>
    <format dxfId="80">
      <pivotArea dataOnly="0" labelOnly="1" fieldPosition="0">
        <references count="1">
          <reference field="2" count="0"/>
        </references>
      </pivotArea>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2" type="button" dataOnly="0" labelOnly="1" outline="0" axis="axisCol" fieldPosition="0"/>
    </format>
    <format dxfId="75">
      <pivotArea type="topRight" dataOnly="0" labelOnly="1" outline="0" fieldPosition="0"/>
    </format>
    <format dxfId="74">
      <pivotArea field="8" type="button" dataOnly="0" labelOnly="1" outline="0" axis="axisRow" fieldPosition="0"/>
    </format>
    <format dxfId="73">
      <pivotArea dataOnly="0" labelOnly="1" fieldPosition="0">
        <references count="1">
          <reference field="8" count="0"/>
        </references>
      </pivotArea>
    </format>
    <format dxfId="72">
      <pivotArea dataOnly="0" labelOnly="1" grandRow="1" outline="0" fieldPosition="0"/>
    </format>
    <format dxfId="71">
      <pivotArea dataOnly="0" labelOnly="1" fieldPosition="0">
        <references count="1">
          <reference field="2"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E51D89-CF16-47F4-862F-5C5F4DFD59F2}" sourceName="Gender">
  <pivotTables>
    <pivotTable tabId="3" name="PivotTable5"/>
    <pivotTable tabId="3" name="PivotTable7"/>
    <pivotTable tabId="3" name="PivotTable8"/>
    <pivotTable tabId="3" name="PivotTable9"/>
    <pivotTable tabId="3" name="PivotTable10"/>
    <pivotTable tabId="3" name="PivotTable11"/>
  </pivotTables>
  <data>
    <tabular pivotCacheId="1927935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6997AEA-B0E1-4085-88C1-528F8CEF3EC2}" sourceName="Age Group">
  <pivotTables>
    <pivotTable tabId="3" name="PivotTable5"/>
    <pivotTable tabId="3" name="PivotTable7"/>
    <pivotTable tabId="3" name="PivotTable8"/>
    <pivotTable tabId="3" name="PivotTable9"/>
    <pivotTable tabId="3" name="PivotTable10"/>
    <pivotTable tabId="3" name="PivotTable11"/>
  </pivotTables>
  <data>
    <tabular pivotCacheId="19279351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8A241B-B5F5-464A-A85E-A52E8C2E05F2}" sourceName="City">
  <pivotTables>
    <pivotTable tabId="3" name="PivotTable5"/>
    <pivotTable tabId="3" name="PivotTable7"/>
    <pivotTable tabId="3" name="PivotTable8"/>
    <pivotTable tabId="3" name="PivotTable9"/>
    <pivotTable tabId="3" name="PivotTable10"/>
    <pivotTable tabId="3" name="PivotTable11"/>
  </pivotTables>
  <data>
    <tabular pivotCacheId="192793516">
      <items count="6">
        <i x="0" s="1"/>
        <i x="5"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_By" xr10:uid="{C8D436D8-F384-4A4C-AB94-DB5A26118D0E}" sourceName="Referred_By">
  <pivotTables>
    <pivotTable tabId="3" name="PivotTable5"/>
    <pivotTable tabId="3" name="PivotTable7"/>
    <pivotTable tabId="3" name="PivotTable8"/>
    <pivotTable tabId="3" name="PivotTable9"/>
    <pivotTable tabId="3" name="PivotTable10"/>
    <pivotTable tabId="3" name="PivotTable11"/>
  </pivotTables>
  <data>
    <tabular pivotCacheId="192793516">
      <items count="16">
        <i x="12" s="1"/>
        <i x="14" s="1"/>
        <i x="0" s="1"/>
        <i x="10" s="1"/>
        <i x="2" s="1"/>
        <i x="1" s="1"/>
        <i x="4" s="1"/>
        <i x="13" s="1"/>
        <i x="7" s="1"/>
        <i x="8" s="1"/>
        <i x="9" s="1"/>
        <i x="15" s="1"/>
        <i x="5" s="1"/>
        <i x="11"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D6EB4A96-374C-4DF7-A4F9-62B888AE7091}" sourceName="Full_Name">
  <pivotTables>
    <pivotTable tabId="3" name="PivotTable5"/>
    <pivotTable tabId="3" name="PivotTable10"/>
    <pivotTable tabId="3" name="PivotTable7"/>
    <pivotTable tabId="3" name="PivotTable8"/>
    <pivotTable tabId="3" name="PivotTable9"/>
    <pivotTable tabId="3" name="PivotTable11"/>
  </pivotTables>
  <data>
    <tabular pivotCacheId="192793516">
      <items count="35">
        <i x="25" s="1"/>
        <i x="0" s="1"/>
        <i x="2" s="1"/>
        <i x="9" s="1"/>
        <i x="26" s="1"/>
        <i x="5" s="1"/>
        <i x="22" s="1"/>
        <i x="31" s="1"/>
        <i x="33" s="1"/>
        <i x="27" s="1"/>
        <i x="20" s="1"/>
        <i x="10" s="1"/>
        <i x="30" s="1"/>
        <i x="8" s="1"/>
        <i x="21" s="1"/>
        <i x="28" s="1"/>
        <i x="15" s="1"/>
        <i x="19" s="1"/>
        <i x="3" s="1"/>
        <i x="11" s="1"/>
        <i x="16" s="1"/>
        <i x="34" s="1"/>
        <i x="1" s="1"/>
        <i x="23" s="1"/>
        <i x="17" s="1"/>
        <i x="32" s="1"/>
        <i x="12" s="1"/>
        <i x="4" s="1"/>
        <i x="18" s="1"/>
        <i x="29" s="1"/>
        <i x="24" s="1"/>
        <i x="13" s="1"/>
        <i x="7" s="1"/>
        <i x="6"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04188D38-C7F7-4973-8158-73713406B326}" sourceName="Referred">
  <pivotTables>
    <pivotTable tabId="3" name="PivotTable5"/>
    <pivotTable tabId="3" name="PivotTable10"/>
    <pivotTable tabId="3" name="PivotTable11"/>
    <pivotTable tabId="3" name="PivotTable7"/>
    <pivotTable tabId="3" name="PivotTable8"/>
    <pivotTable tabId="3" name="PivotTable9"/>
  </pivotTables>
  <data>
    <tabular pivotCacheId="1927935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8CC025-632A-4C64-B140-BD1FBB3EC6B4}" cache="Slicer_Gender" caption="Gender" style="SlicerStyleDark1" rowHeight="324000"/>
  <slicer name="Age Group" xr10:uid="{173749C9-AF19-423F-B3F0-0EE6A7453AAA}" cache="Slicer_Age_Group" caption="Age Group" style="SlicerStyleDark1" rowHeight="252000"/>
  <slicer name="City" xr10:uid="{91C35F57-D62F-4E97-9C68-A8680FF4EA1E}" cache="Slicer_City" caption="City" columnCount="2" style="SlicerStyleDark1" rowHeight="252000"/>
  <slicer name="Referred_By" xr10:uid="{72D51937-2086-4DB7-8F27-08680D0CA2A0}" cache="Slicer_Referred_By" caption="Referred By" style="SlicerStyleDark1" rowHeight="234000"/>
  <slicer name="Full_Name" xr10:uid="{AD786331-0BEE-459E-8781-EEA0193886AE}" cache="Slicer_Full_Name" caption="Full_Name" startItem="14" style="SlicerStyleDark1" rowHeight="241300"/>
  <slicer name="Referred" xr10:uid="{F043867B-AF12-4534-B3E7-B4291CD215A1}" cache="Slicer_Referred" caption="Referred"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DC8A1B-F2BA-42D3-A84E-280CFE29CE20}" name="Table2" displayName="Table2" ref="A1:O36" totalsRowShown="0" headerRowDxfId="258" headerRowBorderDxfId="257" tableBorderDxfId="256" totalsRowBorderDxfId="255">
  <autoFilter ref="A1:O36" xr:uid="{4CDC8A1B-F2BA-42D3-A84E-280CFE29CE20}"/>
  <tableColumns count="15">
    <tableColumn id="1" xr3:uid="{F8FD6695-D22F-4695-BA79-10F1F9F30A18}" name="Column1" dataDxfId="254"/>
    <tableColumn id="2" xr3:uid="{30A5A668-ECC0-4E4C-A149-9C6B3BE6B646}" name="Full_Name" dataDxfId="253"/>
    <tableColumn id="3" xr3:uid="{90535D7C-621B-4FA4-983E-AC5B469CF499}" name="Age" dataDxfId="252"/>
    <tableColumn id="4" xr3:uid="{A57A1E9B-1994-4396-917A-2AB224F58580}" name="Gender" dataDxfId="251"/>
    <tableColumn id="5" xr3:uid="{E61A9151-3658-4572-9D44-D6F94FAB1ED7}" name="Membership_Type" dataDxfId="250"/>
    <tableColumn id="6" xr3:uid="{76775F39-40A8-4DE9-880D-D7CE1A6363EE}" name="Start_Date" dataDxfId="249"/>
    <tableColumn id="7" xr3:uid="{1CA7012A-1975-4CA0-A7F4-25EEF4B9CDE5}" name="End_Date" dataDxfId="248"/>
    <tableColumn id="8" xr3:uid="{E23DBADC-0B6C-4B99-BD7A-80745F0B76EC}" name="Monthly_Fee" dataDxfId="247"/>
    <tableColumn id="9" xr3:uid="{36F32484-58B0-4D57-BB37-9FFEE7F388B4}" name="Attendance" dataDxfId="246"/>
    <tableColumn id="10" xr3:uid="{DD2A0C45-9AE1-415D-B694-3117F7DD7DF8}" name="City" dataDxfId="245"/>
    <tableColumn id="11" xr3:uid="{CA08BAF4-23CF-4B99-AD79-1BB8792F2BF2}" name="Referred_By" dataDxfId="244"/>
    <tableColumn id="12" xr3:uid="{B0D74C69-D1CF-4076-9590-CEB1C68C1D79}" name="Membership_Duration_Months" dataDxfId="243">
      <calculatedColumnFormula>ROUNDDOWN((G2-F2)/30,0)</calculatedColumnFormula>
    </tableColumn>
    <tableColumn id="13" xr3:uid="{F794FB2E-16B4-473D-8224-9E7723B32C7B}" name="Referred" dataDxfId="242">
      <calculatedColumnFormula>IF(K2&lt;&gt;"","Yes","No")</calculatedColumnFormula>
    </tableColumn>
    <tableColumn id="14" xr3:uid="{88130A3C-812E-4DFB-9744-33D48CDC0963}" name="Total_Revenue" dataDxfId="241">
      <calculatedColumnFormula>H2*L2</calculatedColumnFormula>
    </tableColumn>
    <tableColumn id="15" xr3:uid="{C65E1DE6-F795-4619-A61B-7492395B8433}" name="Age Group" dataDxfId="240">
      <calculatedColumnFormula array="1">_xlfn.IFS(C2&lt;=30,"Youth",C2&lt;=45,"Adults",C2&gt;=46,"Seniors")</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001AB-2902-4007-9FC3-8D97B97CA4FA}" name="Table1" displayName="Table1" ref="I4:J6" totalsRowShown="0" headerRowDxfId="6" dataDxfId="4" headerRowBorderDxfId="5" tableBorderDxfId="3">
  <autoFilter ref="I4:J6" xr:uid="{08B001AB-2902-4007-9FC3-8D97B97CA4FA}"/>
  <tableColumns count="2">
    <tableColumn id="1" xr3:uid="{44A18D5E-ADBC-4BD5-A16E-A4E074EEC1EF}" name="Member Type" dataDxfId="2"/>
    <tableColumn id="2" xr3:uid="{B3F89B7B-0670-4CE7-8557-583F3C3CAE2B}" name="Revenue" dataDxfId="1">
      <calculatedColumnFormula>SUMIF(Data!$E$2:$E$36,I5,Data!$N$2:$N$36)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 dockstate="right" visibility="0" width="70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534FCD-3B59-4AF1-956C-998A227064BD}">
  <we:reference id="wa200005502" version="1.0.0.12" store="en-US" storeType="OMEX"/>
  <we:alternateReferences>
    <we:reference id="wa200005502" version="1.0.0.12" store="wa200005502" storeType="OMEX"/>
  </we:alternateReferences>
  <we:properties>
    <we:property name="docId" value="&quot;QnHM7Xm65rzj0i328i_t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E60B21DF-7F04-470A-9FC2-F766C90E26E8}">
  <we:reference id="wa200007447" version="1.0.0.0" store="en-US" storeType="OMEX"/>
  <we:alternateReferences>
    <we:reference id="wa200007447" version="1.0.0.0" store="wa200007447" storeType="OMEX"/>
  </we:alternateReferences>
  <we:properties>
    <we:property name="hello" value="{&quot;name&quot;:&quot;hello&quot;,&quot;code&quot;:&quot;def hello(name):\n    \&quot;\&quot;\&quot; Returns a greeting. \&quot;\&quot;\&quot;\n    return f\&quot;Hello {name}!\&quot;\n\n\n   \n\&quot;\&quot;\&quot;\n👈 Drag task pane open for space\n💾 Save to create Excel function\n▶️ Run in Excel: =HELLO(\&quot;World\&quot;)\n✨ Create a function using AI\n\n\nClick Run▶️ below to try =HELLO!\n\&quot;\&quot;\&quot;&quot;,&quot;options&quot;:{},&quot;signature&quot;:&quot;HELLO(name)&quot;,&quot;description&quot;:&quot;Returns a greeting.&quot;,&quot;resultLine&quot;:&quot;\n\nresult = hello(**{k: v for k, v in [(\&quot;name\&quot;, arg1 if arg1 != \&quot;__OMITTED__\&quot; else None)] if v is not None})&quot;,&quot;formula&quot;:&quot;=LAMBDA(name, BOARDFLARE.EXEC(\&quot;hello\&quot;,name))&quot;,&quot;execFormula&quot;:&quot;=BOARDFLARE.EXEC(\&quot;hello\&quot;, arg1)&quot;,&quot;timestamp&quot;:&quot;2025-09-13T10:06:35.305Z&quot;,&quot;uid&quot;:&quot;anonymous&quot;,&quot;parameters&quot;:[{&quot;name&quot;:&quot;name&quot;}],&quot;imports&quot;:[],&quot;external_packages&quot;:[],&quot;noName&quot;:false}"/>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table" Target="../tables/table2.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O1000"/>
  <sheetViews>
    <sheetView tabSelected="1" workbookViewId="0">
      <selection activeCell="I44" sqref="I44"/>
    </sheetView>
  </sheetViews>
  <sheetFormatPr defaultColWidth="14.44140625" defaultRowHeight="15" customHeight="1" x14ac:dyDescent="0.3"/>
  <cols>
    <col min="1" max="1" width="10.44140625" customWidth="1"/>
    <col min="2" max="2" width="14.21875" bestFit="1" customWidth="1"/>
    <col min="3" max="3" width="6.109375" customWidth="1"/>
    <col min="4" max="4" width="9" customWidth="1"/>
    <col min="5" max="5" width="18.6640625" customWidth="1"/>
    <col min="6" max="6" width="14.33203125" bestFit="1" customWidth="1"/>
    <col min="7" max="7" width="13.5546875" bestFit="1" customWidth="1"/>
    <col min="8" max="8" width="15.88671875" bestFit="1" customWidth="1"/>
    <col min="9" max="9" width="14.5546875" bestFit="1" customWidth="1"/>
    <col min="10" max="10" width="9.21875" bestFit="1" customWidth="1"/>
    <col min="11" max="11" width="16.77734375" bestFit="1" customWidth="1"/>
    <col min="12" max="12" width="29.44140625" customWidth="1"/>
    <col min="13" max="13" width="10.109375" customWidth="1"/>
    <col min="14" max="14" width="15.44140625" customWidth="1"/>
    <col min="15" max="15" width="11.77734375" customWidth="1"/>
    <col min="16" max="16" width="8.77734375" customWidth="1"/>
    <col min="17" max="17" width="29.109375" customWidth="1"/>
    <col min="18" max="18" width="9.5546875" customWidth="1"/>
    <col min="19" max="26" width="8.77734375" customWidth="1"/>
  </cols>
  <sheetData>
    <row r="1" spans="1:15" ht="19.2" customHeight="1" x14ac:dyDescent="0.3">
      <c r="A1" s="21" t="s">
        <v>142</v>
      </c>
      <c r="B1" s="22" t="s">
        <v>0</v>
      </c>
      <c r="C1" s="22" t="s">
        <v>1</v>
      </c>
      <c r="D1" s="22" t="s">
        <v>2</v>
      </c>
      <c r="E1" s="22" t="s">
        <v>3</v>
      </c>
      <c r="F1" s="22" t="s">
        <v>4</v>
      </c>
      <c r="G1" s="22" t="s">
        <v>5</v>
      </c>
      <c r="H1" s="22" t="s">
        <v>6</v>
      </c>
      <c r="I1" s="22" t="s">
        <v>7</v>
      </c>
      <c r="J1" s="22" t="s">
        <v>8</v>
      </c>
      <c r="K1" s="22" t="s">
        <v>9</v>
      </c>
      <c r="L1" s="22" t="s">
        <v>107</v>
      </c>
      <c r="M1" s="22" t="s">
        <v>108</v>
      </c>
      <c r="N1" s="22" t="s">
        <v>109</v>
      </c>
      <c r="O1" s="23" t="s">
        <v>120</v>
      </c>
    </row>
    <row r="2" spans="1:15" ht="14.4" x14ac:dyDescent="0.3">
      <c r="A2" s="19" t="s">
        <v>10</v>
      </c>
      <c r="B2" s="17" t="s">
        <v>11</v>
      </c>
      <c r="C2" s="17">
        <v>59</v>
      </c>
      <c r="D2" s="17" t="s">
        <v>12</v>
      </c>
      <c r="E2" s="17" t="s">
        <v>13</v>
      </c>
      <c r="F2" s="18">
        <v>45235</v>
      </c>
      <c r="G2" s="18">
        <v>45425</v>
      </c>
      <c r="H2" s="17">
        <v>800</v>
      </c>
      <c r="I2" s="17">
        <v>25</v>
      </c>
      <c r="J2" s="17" t="s">
        <v>14</v>
      </c>
      <c r="K2" s="17" t="s">
        <v>15</v>
      </c>
      <c r="L2" s="5">
        <f t="shared" ref="L2:L36" si="0">ROUNDDOWN((G2-F2)/30,0)</f>
        <v>6</v>
      </c>
      <c r="M2" s="5" t="str">
        <f t="shared" ref="M2:M36" si="1">IF(K2&lt;&gt;"","Yes","No")</f>
        <v>Yes</v>
      </c>
      <c r="N2" s="5">
        <f t="shared" ref="N2:N36" si="2">H2*L2</f>
        <v>4800</v>
      </c>
      <c r="O2" s="20" t="str" cm="1">
        <f t="array" ref="O2">_xlfn.IFS(C2&lt;=30,"Youth",C2&lt;=45,"Adults",C2&gt;=46,"Seniors")</f>
        <v>Seniors</v>
      </c>
    </row>
    <row r="3" spans="1:15" ht="14.4" x14ac:dyDescent="0.3">
      <c r="A3" s="19" t="s">
        <v>16</v>
      </c>
      <c r="B3" s="17" t="s">
        <v>17</v>
      </c>
      <c r="C3" s="17">
        <v>27</v>
      </c>
      <c r="D3" s="17" t="s">
        <v>12</v>
      </c>
      <c r="E3" s="17" t="s">
        <v>13</v>
      </c>
      <c r="F3" s="18">
        <v>45714</v>
      </c>
      <c r="G3" s="18">
        <v>45740</v>
      </c>
      <c r="H3" s="17">
        <v>800</v>
      </c>
      <c r="I3" s="17">
        <v>20</v>
      </c>
      <c r="J3" s="17" t="s">
        <v>18</v>
      </c>
      <c r="K3" s="17" t="s">
        <v>19</v>
      </c>
      <c r="L3" s="5">
        <f t="shared" si="0"/>
        <v>0</v>
      </c>
      <c r="M3" s="5" t="str">
        <f t="shared" si="1"/>
        <v>Yes</v>
      </c>
      <c r="N3" s="5">
        <f t="shared" si="2"/>
        <v>0</v>
      </c>
      <c r="O3" s="20" t="str" cm="1">
        <f t="array" ref="O3">_xlfn.IFS(C3&lt;=30,"Youth",C3&lt;=45,"Adults",C3&gt;=46,"Seniors")</f>
        <v>Youth</v>
      </c>
    </row>
    <row r="4" spans="1:15" ht="14.4" x14ac:dyDescent="0.3">
      <c r="A4" s="19" t="s">
        <v>20</v>
      </c>
      <c r="B4" s="17" t="s">
        <v>21</v>
      </c>
      <c r="C4" s="17">
        <v>24</v>
      </c>
      <c r="D4" s="17" t="s">
        <v>12</v>
      </c>
      <c r="E4" s="17" t="s">
        <v>22</v>
      </c>
      <c r="F4" s="18">
        <v>45191</v>
      </c>
      <c r="G4" s="18">
        <v>45371</v>
      </c>
      <c r="H4" s="17">
        <v>1200</v>
      </c>
      <c r="I4" s="17">
        <v>18</v>
      </c>
      <c r="J4" s="17" t="s">
        <v>23</v>
      </c>
      <c r="K4" s="17" t="s">
        <v>24</v>
      </c>
      <c r="L4" s="5">
        <f t="shared" si="0"/>
        <v>6</v>
      </c>
      <c r="M4" s="5" t="str">
        <f t="shared" si="1"/>
        <v>Yes</v>
      </c>
      <c r="N4" s="5">
        <f t="shared" si="2"/>
        <v>7200</v>
      </c>
      <c r="O4" s="20" t="str" cm="1">
        <f t="array" ref="O4">_xlfn.IFS(C4&lt;=30,"Youth",C4&lt;=45,"Adults",C4&gt;=46,"Seniors")</f>
        <v>Youth</v>
      </c>
    </row>
    <row r="5" spans="1:15" ht="14.4" x14ac:dyDescent="0.3">
      <c r="A5" s="19" t="s">
        <v>25</v>
      </c>
      <c r="B5" s="17" t="s">
        <v>26</v>
      </c>
      <c r="C5" s="17">
        <v>31</v>
      </c>
      <c r="D5" s="17" t="s">
        <v>27</v>
      </c>
      <c r="E5" s="17" t="s">
        <v>22</v>
      </c>
      <c r="F5" s="18">
        <v>45479</v>
      </c>
      <c r="G5" s="18">
        <v>45587</v>
      </c>
      <c r="H5" s="17">
        <v>1200</v>
      </c>
      <c r="I5" s="17">
        <v>16</v>
      </c>
      <c r="J5" s="17" t="s">
        <v>23</v>
      </c>
      <c r="K5" s="17" t="s">
        <v>28</v>
      </c>
      <c r="L5" s="5">
        <f t="shared" si="0"/>
        <v>3</v>
      </c>
      <c r="M5" s="5" t="str">
        <f t="shared" si="1"/>
        <v>Yes</v>
      </c>
      <c r="N5" s="5">
        <f t="shared" si="2"/>
        <v>3600</v>
      </c>
      <c r="O5" s="20" t="str" cm="1">
        <f t="array" ref="O5">_xlfn.IFS(C5&lt;=30,"Youth",C5&lt;=45,"Adults",C5&gt;=46,"Seniors")</f>
        <v>Adults</v>
      </c>
    </row>
    <row r="6" spans="1:15" ht="14.4" x14ac:dyDescent="0.3">
      <c r="A6" s="19" t="s">
        <v>29</v>
      </c>
      <c r="B6" s="17" t="s">
        <v>30</v>
      </c>
      <c r="C6" s="17">
        <v>19</v>
      </c>
      <c r="D6" s="17" t="s">
        <v>12</v>
      </c>
      <c r="E6" s="17" t="s">
        <v>31</v>
      </c>
      <c r="F6" s="18">
        <v>45286</v>
      </c>
      <c r="G6" s="18">
        <v>45501</v>
      </c>
      <c r="H6" s="17">
        <v>2500</v>
      </c>
      <c r="I6" s="17">
        <v>12</v>
      </c>
      <c r="J6" s="17" t="s">
        <v>14</v>
      </c>
      <c r="K6" s="17" t="s">
        <v>32</v>
      </c>
      <c r="L6" s="5">
        <f t="shared" si="0"/>
        <v>7</v>
      </c>
      <c r="M6" s="5" t="str">
        <f t="shared" si="1"/>
        <v>Yes</v>
      </c>
      <c r="N6" s="5">
        <f t="shared" si="2"/>
        <v>17500</v>
      </c>
      <c r="O6" s="20" t="str" cm="1">
        <f t="array" ref="O6">_xlfn.IFS(C6&lt;=30,"Youth",C6&lt;=45,"Adults",C6&gt;=46,"Seniors")</f>
        <v>Youth</v>
      </c>
    </row>
    <row r="7" spans="1:15" ht="14.4" x14ac:dyDescent="0.3">
      <c r="A7" s="19" t="s">
        <v>33</v>
      </c>
      <c r="B7" s="17" t="s">
        <v>34</v>
      </c>
      <c r="C7" s="17">
        <v>40</v>
      </c>
      <c r="D7" s="17" t="s">
        <v>12</v>
      </c>
      <c r="E7" s="17" t="s">
        <v>13</v>
      </c>
      <c r="F7" s="18">
        <v>45317</v>
      </c>
      <c r="G7" s="18">
        <v>45392</v>
      </c>
      <c r="H7" s="17">
        <v>800</v>
      </c>
      <c r="I7" s="17">
        <v>14</v>
      </c>
      <c r="J7" s="17" t="s">
        <v>35</v>
      </c>
      <c r="K7" s="17" t="s">
        <v>36</v>
      </c>
      <c r="L7" s="5">
        <f t="shared" si="0"/>
        <v>2</v>
      </c>
      <c r="M7" s="5" t="str">
        <f t="shared" si="1"/>
        <v>Yes</v>
      </c>
      <c r="N7" s="5">
        <f t="shared" si="2"/>
        <v>1600</v>
      </c>
      <c r="O7" s="20" t="str" cm="1">
        <f t="array" ref="O7">_xlfn.IFS(C7&lt;=30,"Youth",C7&lt;=45,"Adults",C7&gt;=46,"Seniors")</f>
        <v>Adults</v>
      </c>
    </row>
    <row r="8" spans="1:15" ht="14.4" x14ac:dyDescent="0.3">
      <c r="A8" s="19" t="s">
        <v>37</v>
      </c>
      <c r="B8" s="17" t="s">
        <v>38</v>
      </c>
      <c r="C8" s="17">
        <v>41</v>
      </c>
      <c r="D8" s="17" t="s">
        <v>27</v>
      </c>
      <c r="E8" s="17" t="s">
        <v>13</v>
      </c>
      <c r="F8" s="18">
        <v>45588</v>
      </c>
      <c r="G8" s="18">
        <v>45677</v>
      </c>
      <c r="H8" s="17">
        <v>800</v>
      </c>
      <c r="I8" s="17">
        <v>25</v>
      </c>
      <c r="J8" s="17" t="s">
        <v>18</v>
      </c>
      <c r="K8" s="5"/>
      <c r="L8" s="5">
        <f t="shared" si="0"/>
        <v>2</v>
      </c>
      <c r="M8" s="5" t="str">
        <f t="shared" si="1"/>
        <v>No</v>
      </c>
      <c r="N8" s="5">
        <f t="shared" si="2"/>
        <v>1600</v>
      </c>
      <c r="O8" s="20" t="str" cm="1">
        <f t="array" ref="O8">_xlfn.IFS(C8&lt;=30,"Youth",C8&lt;=45,"Adults",C8&gt;=46,"Seniors")</f>
        <v>Adults</v>
      </c>
    </row>
    <row r="9" spans="1:15" ht="14.4" x14ac:dyDescent="0.3">
      <c r="A9" s="19" t="s">
        <v>39</v>
      </c>
      <c r="B9" s="17" t="s">
        <v>40</v>
      </c>
      <c r="C9" s="17">
        <v>43</v>
      </c>
      <c r="D9" s="17" t="s">
        <v>12</v>
      </c>
      <c r="E9" s="17" t="s">
        <v>41</v>
      </c>
      <c r="F9" s="18">
        <v>45450</v>
      </c>
      <c r="G9" s="18">
        <v>45563</v>
      </c>
      <c r="H9" s="17">
        <v>1800</v>
      </c>
      <c r="I9" s="17">
        <v>28</v>
      </c>
      <c r="J9" s="17" t="s">
        <v>42</v>
      </c>
      <c r="K9" s="5"/>
      <c r="L9" s="5">
        <f t="shared" si="0"/>
        <v>3</v>
      </c>
      <c r="M9" s="5" t="str">
        <f t="shared" si="1"/>
        <v>No</v>
      </c>
      <c r="N9" s="5">
        <f t="shared" si="2"/>
        <v>5400</v>
      </c>
      <c r="O9" s="20" t="str" cm="1">
        <f t="array" ref="O9">_xlfn.IFS(C9&lt;=30,"Youth",C9&lt;=45,"Adults",C9&gt;=46,"Seniors")</f>
        <v>Adults</v>
      </c>
    </row>
    <row r="10" spans="1:15" ht="14.4" x14ac:dyDescent="0.3">
      <c r="A10" s="19" t="s">
        <v>43</v>
      </c>
      <c r="B10" s="17" t="s">
        <v>44</v>
      </c>
      <c r="C10" s="17">
        <v>42</v>
      </c>
      <c r="D10" s="17" t="s">
        <v>12</v>
      </c>
      <c r="E10" s="17" t="s">
        <v>13</v>
      </c>
      <c r="F10" s="18">
        <v>45569</v>
      </c>
      <c r="G10" s="18">
        <v>45582</v>
      </c>
      <c r="H10" s="17">
        <v>800</v>
      </c>
      <c r="I10" s="17">
        <v>3</v>
      </c>
      <c r="J10" s="17" t="s">
        <v>42</v>
      </c>
      <c r="K10" s="17" t="s">
        <v>45</v>
      </c>
      <c r="L10" s="5">
        <f t="shared" si="0"/>
        <v>0</v>
      </c>
      <c r="M10" s="5" t="str">
        <f t="shared" si="1"/>
        <v>Yes</v>
      </c>
      <c r="N10" s="5">
        <f t="shared" si="2"/>
        <v>0</v>
      </c>
      <c r="O10" s="20" t="str" cm="1">
        <f t="array" ref="O10">_xlfn.IFS(C10&lt;=30,"Youth",C10&lt;=45,"Adults",C10&gt;=46,"Seniors")</f>
        <v>Adults</v>
      </c>
    </row>
    <row r="11" spans="1:15" ht="14.4" x14ac:dyDescent="0.3">
      <c r="A11" s="19" t="s">
        <v>46</v>
      </c>
      <c r="B11" s="17" t="s">
        <v>47</v>
      </c>
      <c r="C11" s="17">
        <v>37</v>
      </c>
      <c r="D11" s="17" t="s">
        <v>12</v>
      </c>
      <c r="E11" s="17" t="s">
        <v>22</v>
      </c>
      <c r="F11" s="18">
        <v>45202</v>
      </c>
      <c r="G11" s="18">
        <v>45280</v>
      </c>
      <c r="H11" s="17">
        <v>1200</v>
      </c>
      <c r="I11" s="17">
        <v>29</v>
      </c>
      <c r="J11" s="17" t="s">
        <v>35</v>
      </c>
      <c r="K11" s="17" t="s">
        <v>48</v>
      </c>
      <c r="L11" s="5">
        <f t="shared" si="0"/>
        <v>2</v>
      </c>
      <c r="M11" s="5" t="str">
        <f t="shared" si="1"/>
        <v>Yes</v>
      </c>
      <c r="N11" s="5">
        <f t="shared" si="2"/>
        <v>2400</v>
      </c>
      <c r="O11" s="20" t="str" cm="1">
        <f t="array" ref="O11">_xlfn.IFS(C11&lt;=30,"Youth",C11&lt;=45,"Adults",C11&gt;=46,"Seniors")</f>
        <v>Adults</v>
      </c>
    </row>
    <row r="12" spans="1:15" ht="14.4" x14ac:dyDescent="0.3">
      <c r="A12" s="19" t="s">
        <v>49</v>
      </c>
      <c r="B12" s="17" t="s">
        <v>50</v>
      </c>
      <c r="C12" s="17">
        <v>48</v>
      </c>
      <c r="D12" s="17" t="s">
        <v>27</v>
      </c>
      <c r="E12" s="17" t="s">
        <v>22</v>
      </c>
      <c r="F12" s="18">
        <v>45297</v>
      </c>
      <c r="G12" s="18">
        <v>45459</v>
      </c>
      <c r="H12" s="17">
        <v>1200</v>
      </c>
      <c r="I12" s="17">
        <v>13</v>
      </c>
      <c r="J12" s="17" t="s">
        <v>14</v>
      </c>
      <c r="K12" s="17" t="s">
        <v>51</v>
      </c>
      <c r="L12" s="5">
        <f t="shared" si="0"/>
        <v>5</v>
      </c>
      <c r="M12" s="5" t="str">
        <f t="shared" si="1"/>
        <v>Yes</v>
      </c>
      <c r="N12" s="5">
        <f t="shared" si="2"/>
        <v>6000</v>
      </c>
      <c r="O12" s="20" t="str" cm="1">
        <f t="array" ref="O12">_xlfn.IFS(C12&lt;=30,"Youth",C12&lt;=45,"Adults",C12&gt;=46,"Seniors")</f>
        <v>Seniors</v>
      </c>
    </row>
    <row r="13" spans="1:15" ht="14.4" x14ac:dyDescent="0.3">
      <c r="A13" s="19" t="s">
        <v>52</v>
      </c>
      <c r="B13" s="17" t="s">
        <v>53</v>
      </c>
      <c r="C13" s="17">
        <v>36</v>
      </c>
      <c r="D13" s="17" t="s">
        <v>12</v>
      </c>
      <c r="E13" s="17" t="s">
        <v>22</v>
      </c>
      <c r="F13" s="18">
        <v>45154</v>
      </c>
      <c r="G13" s="18">
        <v>45568</v>
      </c>
      <c r="H13" s="17">
        <v>1200</v>
      </c>
      <c r="I13" s="17">
        <v>19</v>
      </c>
      <c r="J13" s="17" t="s">
        <v>42</v>
      </c>
      <c r="K13" s="17" t="s">
        <v>54</v>
      </c>
      <c r="L13" s="5">
        <f t="shared" si="0"/>
        <v>13</v>
      </c>
      <c r="M13" s="5" t="str">
        <f t="shared" si="1"/>
        <v>Yes</v>
      </c>
      <c r="N13" s="5">
        <f t="shared" si="2"/>
        <v>15600</v>
      </c>
      <c r="O13" s="20" t="str" cm="1">
        <f t="array" ref="O13">_xlfn.IFS(C13&lt;=30,"Youth",C13&lt;=45,"Adults",C13&gt;=46,"Seniors")</f>
        <v>Adults</v>
      </c>
    </row>
    <row r="14" spans="1:15" ht="14.4" x14ac:dyDescent="0.3">
      <c r="A14" s="19" t="s">
        <v>55</v>
      </c>
      <c r="B14" s="17" t="s">
        <v>56</v>
      </c>
      <c r="C14" s="17">
        <v>48</v>
      </c>
      <c r="D14" s="17" t="s">
        <v>27</v>
      </c>
      <c r="E14" s="17" t="s">
        <v>41</v>
      </c>
      <c r="F14" s="18">
        <v>45556</v>
      </c>
      <c r="G14" s="18">
        <v>45641</v>
      </c>
      <c r="H14" s="17">
        <v>1800</v>
      </c>
      <c r="I14" s="17">
        <v>22</v>
      </c>
      <c r="J14" s="17" t="s">
        <v>42</v>
      </c>
      <c r="K14" s="5"/>
      <c r="L14" s="5">
        <f t="shared" si="0"/>
        <v>2</v>
      </c>
      <c r="M14" s="5" t="str">
        <f t="shared" si="1"/>
        <v>No</v>
      </c>
      <c r="N14" s="5">
        <f t="shared" si="2"/>
        <v>3600</v>
      </c>
      <c r="O14" s="20" t="str" cm="1">
        <f t="array" ref="O14">_xlfn.IFS(C14&lt;=30,"Youth",C14&lt;=45,"Adults",C14&gt;=46,"Seniors")</f>
        <v>Seniors</v>
      </c>
    </row>
    <row r="15" spans="1:15" ht="14.4" x14ac:dyDescent="0.3">
      <c r="A15" s="19" t="s">
        <v>57</v>
      </c>
      <c r="B15" s="17" t="s">
        <v>58</v>
      </c>
      <c r="C15" s="17">
        <v>39</v>
      </c>
      <c r="D15" s="17" t="s">
        <v>12</v>
      </c>
      <c r="E15" s="17" t="s">
        <v>22</v>
      </c>
      <c r="F15" s="18">
        <v>45065</v>
      </c>
      <c r="G15" s="18">
        <v>45242</v>
      </c>
      <c r="H15" s="17">
        <v>1200</v>
      </c>
      <c r="I15" s="17">
        <v>28</v>
      </c>
      <c r="J15" s="17" t="s">
        <v>35</v>
      </c>
      <c r="K15" s="5"/>
      <c r="L15" s="5">
        <f t="shared" si="0"/>
        <v>5</v>
      </c>
      <c r="M15" s="5" t="str">
        <f t="shared" si="1"/>
        <v>No</v>
      </c>
      <c r="N15" s="5">
        <f t="shared" si="2"/>
        <v>6000</v>
      </c>
      <c r="O15" s="20" t="str" cm="1">
        <f t="array" ref="O15">_xlfn.IFS(C15&lt;=30,"Youth",C15&lt;=45,"Adults",C15&gt;=46,"Seniors")</f>
        <v>Adults</v>
      </c>
    </row>
    <row r="16" spans="1:15" ht="14.4" x14ac:dyDescent="0.3">
      <c r="A16" s="19" t="s">
        <v>59</v>
      </c>
      <c r="B16" s="17" t="s">
        <v>60</v>
      </c>
      <c r="C16" s="17">
        <v>44</v>
      </c>
      <c r="D16" s="17" t="s">
        <v>27</v>
      </c>
      <c r="E16" s="17" t="s">
        <v>13</v>
      </c>
      <c r="F16" s="18">
        <v>45333</v>
      </c>
      <c r="G16" s="18">
        <v>45540</v>
      </c>
      <c r="H16" s="17">
        <v>800</v>
      </c>
      <c r="I16" s="17">
        <v>8</v>
      </c>
      <c r="J16" s="17" t="s">
        <v>23</v>
      </c>
      <c r="K16" s="5"/>
      <c r="L16" s="5">
        <f t="shared" si="0"/>
        <v>6</v>
      </c>
      <c r="M16" s="5" t="str">
        <f t="shared" si="1"/>
        <v>No</v>
      </c>
      <c r="N16" s="5">
        <f t="shared" si="2"/>
        <v>4800</v>
      </c>
      <c r="O16" s="20" t="str" cm="1">
        <f t="array" ref="O16">_xlfn.IFS(C16&lt;=30,"Youth",C16&lt;=45,"Adults",C16&gt;=46,"Seniors")</f>
        <v>Adults</v>
      </c>
    </row>
    <row r="17" spans="1:15" ht="14.4" x14ac:dyDescent="0.3">
      <c r="A17" s="19" t="s">
        <v>61</v>
      </c>
      <c r="B17" s="17" t="s">
        <v>62</v>
      </c>
      <c r="C17" s="17">
        <v>39</v>
      </c>
      <c r="D17" s="17" t="s">
        <v>12</v>
      </c>
      <c r="E17" s="17" t="s">
        <v>31</v>
      </c>
      <c r="F17" s="18">
        <v>45702</v>
      </c>
      <c r="G17" s="18">
        <v>45732</v>
      </c>
      <c r="H17" s="17">
        <v>2500</v>
      </c>
      <c r="I17" s="17">
        <v>14</v>
      </c>
      <c r="J17" s="17" t="s">
        <v>42</v>
      </c>
      <c r="K17" s="5"/>
      <c r="L17" s="5">
        <f t="shared" si="0"/>
        <v>1</v>
      </c>
      <c r="M17" s="5" t="str">
        <f t="shared" si="1"/>
        <v>No</v>
      </c>
      <c r="N17" s="5">
        <f t="shared" si="2"/>
        <v>2500</v>
      </c>
      <c r="O17" s="20" t="str" cm="1">
        <f t="array" ref="O17">_xlfn.IFS(C17&lt;=30,"Youth",C17&lt;=45,"Adults",C17&gt;=46,"Seniors")</f>
        <v>Adults</v>
      </c>
    </row>
    <row r="18" spans="1:15" ht="14.4" x14ac:dyDescent="0.3">
      <c r="A18" s="19" t="s">
        <v>63</v>
      </c>
      <c r="B18" s="17" t="s">
        <v>64</v>
      </c>
      <c r="C18" s="17">
        <v>35</v>
      </c>
      <c r="D18" s="17" t="s">
        <v>12</v>
      </c>
      <c r="E18" s="17" t="s">
        <v>22</v>
      </c>
      <c r="F18" s="18">
        <v>45329</v>
      </c>
      <c r="G18" s="18">
        <v>45685</v>
      </c>
      <c r="H18" s="17">
        <v>1200</v>
      </c>
      <c r="I18" s="17">
        <v>25</v>
      </c>
      <c r="J18" s="17" t="s">
        <v>23</v>
      </c>
      <c r="K18" s="5"/>
      <c r="L18" s="5">
        <f t="shared" si="0"/>
        <v>11</v>
      </c>
      <c r="M18" s="5" t="str">
        <f t="shared" si="1"/>
        <v>No</v>
      </c>
      <c r="N18" s="5">
        <f t="shared" si="2"/>
        <v>13200</v>
      </c>
      <c r="O18" s="20" t="str" cm="1">
        <f t="array" ref="O18">_xlfn.IFS(C18&lt;=30,"Youth",C18&lt;=45,"Adults",C18&gt;=46,"Seniors")</f>
        <v>Adults</v>
      </c>
    </row>
    <row r="19" spans="1:15" ht="14.4" x14ac:dyDescent="0.3">
      <c r="A19" s="19" t="s">
        <v>65</v>
      </c>
      <c r="B19" s="17" t="s">
        <v>66</v>
      </c>
      <c r="C19" s="17">
        <v>56</v>
      </c>
      <c r="D19" s="17" t="s">
        <v>27</v>
      </c>
      <c r="E19" s="17" t="s">
        <v>31</v>
      </c>
      <c r="F19" s="18">
        <v>45213</v>
      </c>
      <c r="G19" s="18">
        <v>45649</v>
      </c>
      <c r="H19" s="17">
        <v>2500</v>
      </c>
      <c r="I19" s="17">
        <v>13</v>
      </c>
      <c r="J19" s="17" t="s">
        <v>67</v>
      </c>
      <c r="K19" s="5"/>
      <c r="L19" s="5">
        <f t="shared" si="0"/>
        <v>14</v>
      </c>
      <c r="M19" s="5" t="str">
        <f t="shared" si="1"/>
        <v>No</v>
      </c>
      <c r="N19" s="5">
        <f t="shared" si="2"/>
        <v>35000</v>
      </c>
      <c r="O19" s="20" t="str" cm="1">
        <f t="array" ref="O19">_xlfn.IFS(C19&lt;=30,"Youth",C19&lt;=45,"Adults",C19&gt;=46,"Seniors")</f>
        <v>Seniors</v>
      </c>
    </row>
    <row r="20" spans="1:15" ht="14.4" x14ac:dyDescent="0.3">
      <c r="A20" s="19" t="s">
        <v>68</v>
      </c>
      <c r="B20" s="17" t="s">
        <v>69</v>
      </c>
      <c r="C20" s="17">
        <v>27</v>
      </c>
      <c r="D20" s="17" t="s">
        <v>27</v>
      </c>
      <c r="E20" s="17" t="s">
        <v>13</v>
      </c>
      <c r="F20" s="18">
        <v>45354</v>
      </c>
      <c r="G20" s="18">
        <v>45664</v>
      </c>
      <c r="H20" s="17">
        <v>800</v>
      </c>
      <c r="I20" s="17">
        <v>26</v>
      </c>
      <c r="J20" s="17" t="s">
        <v>35</v>
      </c>
      <c r="K20" s="5"/>
      <c r="L20" s="5">
        <f t="shared" si="0"/>
        <v>10</v>
      </c>
      <c r="M20" s="5" t="str">
        <f t="shared" si="1"/>
        <v>No</v>
      </c>
      <c r="N20" s="5">
        <f t="shared" si="2"/>
        <v>8000</v>
      </c>
      <c r="O20" s="20" t="str" cm="1">
        <f t="array" ref="O20">_xlfn.IFS(C20&lt;=30,"Youth",C20&lt;=45,"Adults",C20&gt;=46,"Seniors")</f>
        <v>Youth</v>
      </c>
    </row>
    <row r="21" spans="1:15" ht="15.75" customHeight="1" x14ac:dyDescent="0.3">
      <c r="A21" s="19" t="s">
        <v>70</v>
      </c>
      <c r="B21" s="17" t="s">
        <v>71</v>
      </c>
      <c r="C21" s="17">
        <v>28</v>
      </c>
      <c r="D21" s="17" t="s">
        <v>12</v>
      </c>
      <c r="E21" s="17" t="s">
        <v>31</v>
      </c>
      <c r="F21" s="18">
        <v>45417</v>
      </c>
      <c r="G21" s="18">
        <v>45608</v>
      </c>
      <c r="H21" s="17">
        <v>2500</v>
      </c>
      <c r="I21" s="17">
        <v>21</v>
      </c>
      <c r="J21" s="17" t="s">
        <v>35</v>
      </c>
      <c r="K21" s="17" t="s">
        <v>72</v>
      </c>
      <c r="L21" s="5">
        <f t="shared" si="0"/>
        <v>6</v>
      </c>
      <c r="M21" s="5" t="str">
        <f t="shared" si="1"/>
        <v>Yes</v>
      </c>
      <c r="N21" s="5">
        <f t="shared" si="2"/>
        <v>15000</v>
      </c>
      <c r="O21" s="20" t="str" cm="1">
        <f t="array" ref="O21">_xlfn.IFS(C21&lt;=30,"Youth",C21&lt;=45,"Adults",C21&gt;=46,"Seniors")</f>
        <v>Youth</v>
      </c>
    </row>
    <row r="22" spans="1:15" ht="15.75" customHeight="1" x14ac:dyDescent="0.3">
      <c r="A22" s="19" t="s">
        <v>73</v>
      </c>
      <c r="B22" s="17" t="s">
        <v>74</v>
      </c>
      <c r="C22" s="17">
        <v>57</v>
      </c>
      <c r="D22" s="17" t="s">
        <v>27</v>
      </c>
      <c r="E22" s="17" t="s">
        <v>41</v>
      </c>
      <c r="F22" s="18">
        <v>45146</v>
      </c>
      <c r="G22" s="18">
        <v>45674</v>
      </c>
      <c r="H22" s="17">
        <v>1800</v>
      </c>
      <c r="I22" s="17">
        <v>19</v>
      </c>
      <c r="J22" s="17" t="s">
        <v>35</v>
      </c>
      <c r="K22" s="5"/>
      <c r="L22" s="5">
        <f t="shared" si="0"/>
        <v>17</v>
      </c>
      <c r="M22" s="5" t="str">
        <f t="shared" si="1"/>
        <v>No</v>
      </c>
      <c r="N22" s="5">
        <f t="shared" si="2"/>
        <v>30600</v>
      </c>
      <c r="O22" s="20" t="str" cm="1">
        <f t="array" ref="O22">_xlfn.IFS(C22&lt;=30,"Youth",C22&lt;=45,"Adults",C22&gt;=46,"Seniors")</f>
        <v>Seniors</v>
      </c>
    </row>
    <row r="23" spans="1:15" ht="15.75" customHeight="1" x14ac:dyDescent="0.3">
      <c r="A23" s="19" t="s">
        <v>75</v>
      </c>
      <c r="B23" s="17" t="s">
        <v>76</v>
      </c>
      <c r="C23" s="17">
        <v>26</v>
      </c>
      <c r="D23" s="17" t="s">
        <v>27</v>
      </c>
      <c r="E23" s="17" t="s">
        <v>41</v>
      </c>
      <c r="F23" s="18">
        <v>45320</v>
      </c>
      <c r="G23" s="18">
        <v>45616</v>
      </c>
      <c r="H23" s="17">
        <v>1800</v>
      </c>
      <c r="I23" s="17">
        <v>5</v>
      </c>
      <c r="J23" s="17" t="s">
        <v>14</v>
      </c>
      <c r="K23" s="5"/>
      <c r="L23" s="5">
        <f t="shared" si="0"/>
        <v>9</v>
      </c>
      <c r="M23" s="5" t="str">
        <f t="shared" si="1"/>
        <v>No</v>
      </c>
      <c r="N23" s="5">
        <f t="shared" si="2"/>
        <v>16200</v>
      </c>
      <c r="O23" s="20" t="str" cm="1">
        <f t="array" ref="O23">_xlfn.IFS(C23&lt;=30,"Youth",C23&lt;=45,"Adults",C23&gt;=46,"Seniors")</f>
        <v>Youth</v>
      </c>
    </row>
    <row r="24" spans="1:15" ht="15.75" customHeight="1" x14ac:dyDescent="0.3">
      <c r="A24" s="19" t="s">
        <v>77</v>
      </c>
      <c r="B24" s="17" t="s">
        <v>78</v>
      </c>
      <c r="C24" s="17">
        <v>48</v>
      </c>
      <c r="D24" s="17" t="s">
        <v>12</v>
      </c>
      <c r="E24" s="17" t="s">
        <v>41</v>
      </c>
      <c r="F24" s="18">
        <v>45451</v>
      </c>
      <c r="G24" s="18">
        <v>45455</v>
      </c>
      <c r="H24" s="17">
        <v>1800</v>
      </c>
      <c r="I24" s="17">
        <v>18</v>
      </c>
      <c r="J24" s="17" t="s">
        <v>67</v>
      </c>
      <c r="K24" s="5"/>
      <c r="L24" s="5">
        <f t="shared" si="0"/>
        <v>0</v>
      </c>
      <c r="M24" s="5" t="str">
        <f t="shared" si="1"/>
        <v>No</v>
      </c>
      <c r="N24" s="5">
        <f t="shared" si="2"/>
        <v>0</v>
      </c>
      <c r="O24" s="20" t="str" cm="1">
        <f t="array" ref="O24">_xlfn.IFS(C24&lt;=30,"Youth",C24&lt;=45,"Adults",C24&gt;=46,"Seniors")</f>
        <v>Seniors</v>
      </c>
    </row>
    <row r="25" spans="1:15" ht="15.75" customHeight="1" x14ac:dyDescent="0.3">
      <c r="A25" s="19" t="s">
        <v>79</v>
      </c>
      <c r="B25" s="17" t="s">
        <v>80</v>
      </c>
      <c r="C25" s="17">
        <v>25</v>
      </c>
      <c r="D25" s="17" t="s">
        <v>27</v>
      </c>
      <c r="E25" s="17" t="s">
        <v>22</v>
      </c>
      <c r="F25" s="18">
        <v>45439</v>
      </c>
      <c r="G25" s="18">
        <v>45730</v>
      </c>
      <c r="H25" s="17">
        <v>1200</v>
      </c>
      <c r="I25" s="17">
        <v>6</v>
      </c>
      <c r="J25" s="17" t="s">
        <v>14</v>
      </c>
      <c r="K25" s="5"/>
      <c r="L25" s="5">
        <f t="shared" si="0"/>
        <v>9</v>
      </c>
      <c r="M25" s="5" t="str">
        <f t="shared" si="1"/>
        <v>No</v>
      </c>
      <c r="N25" s="5">
        <f t="shared" si="2"/>
        <v>10800</v>
      </c>
      <c r="O25" s="20" t="str" cm="1">
        <f t="array" ref="O25">_xlfn.IFS(C25&lt;=30,"Youth",C25&lt;=45,"Adults",C25&gt;=46,"Seniors")</f>
        <v>Youth</v>
      </c>
    </row>
    <row r="26" spans="1:15" ht="15.75" customHeight="1" x14ac:dyDescent="0.3">
      <c r="A26" s="19" t="s">
        <v>81</v>
      </c>
      <c r="B26" s="17" t="s">
        <v>82</v>
      </c>
      <c r="C26" s="17">
        <v>53</v>
      </c>
      <c r="D26" s="17" t="s">
        <v>12</v>
      </c>
      <c r="E26" s="17" t="s">
        <v>41</v>
      </c>
      <c r="F26" s="18">
        <v>45286</v>
      </c>
      <c r="G26" s="18">
        <v>45372</v>
      </c>
      <c r="H26" s="17">
        <v>1800</v>
      </c>
      <c r="I26" s="17">
        <v>17</v>
      </c>
      <c r="J26" s="17" t="s">
        <v>35</v>
      </c>
      <c r="K26" s="17" t="s">
        <v>83</v>
      </c>
      <c r="L26" s="5">
        <f t="shared" si="0"/>
        <v>2</v>
      </c>
      <c r="M26" s="5" t="str">
        <f t="shared" si="1"/>
        <v>Yes</v>
      </c>
      <c r="N26" s="5">
        <f t="shared" si="2"/>
        <v>3600</v>
      </c>
      <c r="O26" s="20" t="str" cm="1">
        <f t="array" ref="O26">_xlfn.IFS(C26&lt;=30,"Youth",C26&lt;=45,"Adults",C26&gt;=46,"Seniors")</f>
        <v>Seniors</v>
      </c>
    </row>
    <row r="27" spans="1:15" ht="15.75" customHeight="1" x14ac:dyDescent="0.3">
      <c r="A27" s="19" t="s">
        <v>84</v>
      </c>
      <c r="B27" s="17" t="s">
        <v>85</v>
      </c>
      <c r="C27" s="17">
        <v>42</v>
      </c>
      <c r="D27" s="17" t="s">
        <v>27</v>
      </c>
      <c r="E27" s="17" t="s">
        <v>22</v>
      </c>
      <c r="F27" s="18">
        <v>45702</v>
      </c>
      <c r="G27" s="18">
        <v>45727</v>
      </c>
      <c r="H27" s="17">
        <v>1200</v>
      </c>
      <c r="I27" s="17">
        <v>3</v>
      </c>
      <c r="J27" s="17" t="s">
        <v>67</v>
      </c>
      <c r="K27" s="5"/>
      <c r="L27" s="5">
        <f t="shared" si="0"/>
        <v>0</v>
      </c>
      <c r="M27" s="5" t="str">
        <f t="shared" si="1"/>
        <v>No</v>
      </c>
      <c r="N27" s="5">
        <f t="shared" si="2"/>
        <v>0</v>
      </c>
      <c r="O27" s="20" t="str" cm="1">
        <f t="array" ref="O27">_xlfn.IFS(C27&lt;=30,"Youth",C27&lt;=45,"Adults",C27&gt;=46,"Seniors")</f>
        <v>Adults</v>
      </c>
    </row>
    <row r="28" spans="1:15" ht="15.75" customHeight="1" x14ac:dyDescent="0.3">
      <c r="A28" s="19" t="s">
        <v>86</v>
      </c>
      <c r="B28" s="17" t="s">
        <v>87</v>
      </c>
      <c r="C28" s="17">
        <v>24</v>
      </c>
      <c r="D28" s="17" t="s">
        <v>12</v>
      </c>
      <c r="E28" s="17" t="s">
        <v>31</v>
      </c>
      <c r="F28" s="18">
        <v>45698</v>
      </c>
      <c r="G28" s="18">
        <v>45726</v>
      </c>
      <c r="H28" s="17">
        <v>2500</v>
      </c>
      <c r="I28" s="17">
        <v>28</v>
      </c>
      <c r="J28" s="17" t="s">
        <v>35</v>
      </c>
      <c r="K28" s="5"/>
      <c r="L28" s="5">
        <f t="shared" si="0"/>
        <v>0</v>
      </c>
      <c r="M28" s="5" t="str">
        <f t="shared" si="1"/>
        <v>No</v>
      </c>
      <c r="N28" s="5">
        <f t="shared" si="2"/>
        <v>0</v>
      </c>
      <c r="O28" s="20" t="str" cm="1">
        <f t="array" ref="O28">_xlfn.IFS(C28&lt;=30,"Youth",C28&lt;=45,"Adults",C28&gt;=46,"Seniors")</f>
        <v>Youth</v>
      </c>
    </row>
    <row r="29" spans="1:15" ht="15.75" customHeight="1" x14ac:dyDescent="0.3">
      <c r="A29" s="19" t="s">
        <v>88</v>
      </c>
      <c r="B29" s="17" t="s">
        <v>89</v>
      </c>
      <c r="C29" s="17">
        <v>53</v>
      </c>
      <c r="D29" s="17" t="s">
        <v>12</v>
      </c>
      <c r="E29" s="17" t="s">
        <v>22</v>
      </c>
      <c r="F29" s="18">
        <v>45614</v>
      </c>
      <c r="G29" s="18">
        <v>45645</v>
      </c>
      <c r="H29" s="17">
        <v>1200</v>
      </c>
      <c r="I29" s="17">
        <v>23</v>
      </c>
      <c r="J29" s="17" t="s">
        <v>18</v>
      </c>
      <c r="K29" s="5"/>
      <c r="L29" s="5">
        <f t="shared" si="0"/>
        <v>1</v>
      </c>
      <c r="M29" s="5" t="str">
        <f t="shared" si="1"/>
        <v>No</v>
      </c>
      <c r="N29" s="5">
        <f t="shared" si="2"/>
        <v>1200</v>
      </c>
      <c r="O29" s="20" t="str" cm="1">
        <f t="array" ref="O29">_xlfn.IFS(C29&lt;=30,"Youth",C29&lt;=45,"Adults",C29&gt;=46,"Seniors")</f>
        <v>Seniors</v>
      </c>
    </row>
    <row r="30" spans="1:15" ht="15.75" customHeight="1" x14ac:dyDescent="0.3">
      <c r="A30" s="19" t="s">
        <v>90</v>
      </c>
      <c r="B30" s="17" t="s">
        <v>91</v>
      </c>
      <c r="C30" s="17">
        <v>29</v>
      </c>
      <c r="D30" s="17" t="s">
        <v>27</v>
      </c>
      <c r="E30" s="17" t="s">
        <v>31</v>
      </c>
      <c r="F30" s="18">
        <v>45401</v>
      </c>
      <c r="G30" s="18">
        <v>45408</v>
      </c>
      <c r="H30" s="17">
        <v>2500</v>
      </c>
      <c r="I30" s="17">
        <v>8</v>
      </c>
      <c r="J30" s="17" t="s">
        <v>23</v>
      </c>
      <c r="K30" s="5"/>
      <c r="L30" s="5">
        <f t="shared" si="0"/>
        <v>0</v>
      </c>
      <c r="M30" s="5" t="str">
        <f t="shared" si="1"/>
        <v>No</v>
      </c>
      <c r="N30" s="5">
        <f t="shared" si="2"/>
        <v>0</v>
      </c>
      <c r="O30" s="20" t="str" cm="1">
        <f t="array" ref="O30">_xlfn.IFS(C30&lt;=30,"Youth",C30&lt;=45,"Adults",C30&gt;=46,"Seniors")</f>
        <v>Youth</v>
      </c>
    </row>
    <row r="31" spans="1:15" ht="15.75" customHeight="1" x14ac:dyDescent="0.3">
      <c r="A31" s="19" t="s">
        <v>92</v>
      </c>
      <c r="B31" s="17" t="s">
        <v>93</v>
      </c>
      <c r="C31" s="17">
        <v>31</v>
      </c>
      <c r="D31" s="17" t="s">
        <v>27</v>
      </c>
      <c r="E31" s="17" t="s">
        <v>31</v>
      </c>
      <c r="F31" s="18">
        <v>45667</v>
      </c>
      <c r="G31" s="18">
        <v>45745</v>
      </c>
      <c r="H31" s="17">
        <v>2500</v>
      </c>
      <c r="I31" s="17">
        <v>23</v>
      </c>
      <c r="J31" s="17" t="s">
        <v>42</v>
      </c>
      <c r="K31" s="17" t="s">
        <v>94</v>
      </c>
      <c r="L31" s="5">
        <f t="shared" si="0"/>
        <v>2</v>
      </c>
      <c r="M31" s="5" t="str">
        <f t="shared" si="1"/>
        <v>Yes</v>
      </c>
      <c r="N31" s="5">
        <f t="shared" si="2"/>
        <v>5000</v>
      </c>
      <c r="O31" s="20" t="str" cm="1">
        <f t="array" ref="O31">_xlfn.IFS(C31&lt;=30,"Youth",C31&lt;=45,"Adults",C31&gt;=46,"Seniors")</f>
        <v>Adults</v>
      </c>
    </row>
    <row r="32" spans="1:15" ht="15.75" customHeight="1" x14ac:dyDescent="0.3">
      <c r="A32" s="19" t="s">
        <v>95</v>
      </c>
      <c r="B32" s="17" t="s">
        <v>96</v>
      </c>
      <c r="C32" s="17">
        <v>52</v>
      </c>
      <c r="D32" s="17" t="s">
        <v>27</v>
      </c>
      <c r="E32" s="17" t="s">
        <v>13</v>
      </c>
      <c r="F32" s="18">
        <v>45088</v>
      </c>
      <c r="G32" s="18">
        <v>45656</v>
      </c>
      <c r="H32" s="17">
        <v>800</v>
      </c>
      <c r="I32" s="17">
        <v>9</v>
      </c>
      <c r="J32" s="17" t="s">
        <v>67</v>
      </c>
      <c r="K32" s="17" t="s">
        <v>97</v>
      </c>
      <c r="L32" s="5">
        <f t="shared" si="0"/>
        <v>18</v>
      </c>
      <c r="M32" s="5" t="str">
        <f t="shared" si="1"/>
        <v>Yes</v>
      </c>
      <c r="N32" s="5">
        <f t="shared" si="2"/>
        <v>14400</v>
      </c>
      <c r="O32" s="20" t="str" cm="1">
        <f t="array" ref="O32">_xlfn.IFS(C32&lt;=30,"Youth",C32&lt;=45,"Adults",C32&gt;=46,"Seniors")</f>
        <v>Seniors</v>
      </c>
    </row>
    <row r="33" spans="1:15" ht="15.75" customHeight="1" x14ac:dyDescent="0.3">
      <c r="A33" s="19" t="s">
        <v>98</v>
      </c>
      <c r="B33" s="17" t="s">
        <v>99</v>
      </c>
      <c r="C33" s="17">
        <v>20</v>
      </c>
      <c r="D33" s="17" t="s">
        <v>12</v>
      </c>
      <c r="E33" s="17" t="s">
        <v>22</v>
      </c>
      <c r="F33" s="18">
        <v>45391</v>
      </c>
      <c r="G33" s="18">
        <v>45604</v>
      </c>
      <c r="H33" s="17">
        <v>1200</v>
      </c>
      <c r="I33" s="17">
        <v>2</v>
      </c>
      <c r="J33" s="17" t="s">
        <v>35</v>
      </c>
      <c r="K33" s="5"/>
      <c r="L33" s="5">
        <f t="shared" si="0"/>
        <v>7</v>
      </c>
      <c r="M33" s="5" t="str">
        <f t="shared" si="1"/>
        <v>No</v>
      </c>
      <c r="N33" s="5">
        <f t="shared" si="2"/>
        <v>8400</v>
      </c>
      <c r="O33" s="20" t="str" cm="1">
        <f t="array" ref="O33">_xlfn.IFS(C33&lt;=30,"Youth",C33&lt;=45,"Adults",C33&gt;=46,"Seniors")</f>
        <v>Youth</v>
      </c>
    </row>
    <row r="34" spans="1:15" ht="15.75" customHeight="1" x14ac:dyDescent="0.3">
      <c r="A34" s="19" t="s">
        <v>100</v>
      </c>
      <c r="B34" s="17" t="s">
        <v>101</v>
      </c>
      <c r="C34" s="17">
        <v>22</v>
      </c>
      <c r="D34" s="17" t="s">
        <v>12</v>
      </c>
      <c r="E34" s="17" t="s">
        <v>13</v>
      </c>
      <c r="F34" s="18">
        <v>45699</v>
      </c>
      <c r="G34" s="18">
        <v>45740</v>
      </c>
      <c r="H34" s="17">
        <v>800</v>
      </c>
      <c r="I34" s="17">
        <v>30</v>
      </c>
      <c r="J34" s="17" t="s">
        <v>35</v>
      </c>
      <c r="K34" s="5"/>
      <c r="L34" s="5">
        <f t="shared" si="0"/>
        <v>1</v>
      </c>
      <c r="M34" s="5" t="str">
        <f t="shared" si="1"/>
        <v>No</v>
      </c>
      <c r="N34" s="5">
        <f t="shared" si="2"/>
        <v>800</v>
      </c>
      <c r="O34" s="20" t="str" cm="1">
        <f t="array" ref="O34">_xlfn.IFS(C34&lt;=30,"Youth",C34&lt;=45,"Adults",C34&gt;=46,"Seniors")</f>
        <v>Youth</v>
      </c>
    </row>
    <row r="35" spans="1:15" ht="15.75" customHeight="1" x14ac:dyDescent="0.3">
      <c r="A35" s="19" t="s">
        <v>102</v>
      </c>
      <c r="B35" s="17" t="s">
        <v>103</v>
      </c>
      <c r="C35" s="17">
        <v>23</v>
      </c>
      <c r="D35" s="17" t="s">
        <v>12</v>
      </c>
      <c r="E35" s="17" t="s">
        <v>41</v>
      </c>
      <c r="F35" s="18">
        <v>45588</v>
      </c>
      <c r="G35" s="18">
        <v>45721</v>
      </c>
      <c r="H35" s="17">
        <v>1800</v>
      </c>
      <c r="I35" s="17">
        <v>23</v>
      </c>
      <c r="J35" s="17" t="s">
        <v>18</v>
      </c>
      <c r="K35" s="17" t="s">
        <v>104</v>
      </c>
      <c r="L35" s="5">
        <f t="shared" si="0"/>
        <v>4</v>
      </c>
      <c r="M35" s="5" t="str">
        <f t="shared" si="1"/>
        <v>Yes</v>
      </c>
      <c r="N35" s="5">
        <f t="shared" si="2"/>
        <v>7200</v>
      </c>
      <c r="O35" s="20" t="str" cm="1">
        <f t="array" ref="O35">_xlfn.IFS(C35&lt;=30,"Youth",C35&lt;=45,"Adults",C35&gt;=46,"Seniors")</f>
        <v>Youth</v>
      </c>
    </row>
    <row r="36" spans="1:15" ht="15.75" customHeight="1" x14ac:dyDescent="0.3">
      <c r="A36" s="24" t="s">
        <v>105</v>
      </c>
      <c r="B36" s="25" t="s">
        <v>106</v>
      </c>
      <c r="C36" s="25">
        <v>27</v>
      </c>
      <c r="D36" s="25" t="s">
        <v>27</v>
      </c>
      <c r="E36" s="25" t="s">
        <v>22</v>
      </c>
      <c r="F36" s="26">
        <v>45312</v>
      </c>
      <c r="G36" s="26">
        <v>45652</v>
      </c>
      <c r="H36" s="25">
        <v>1200</v>
      </c>
      <c r="I36" s="25">
        <v>27</v>
      </c>
      <c r="J36" s="25" t="s">
        <v>18</v>
      </c>
      <c r="K36" s="27"/>
      <c r="L36" s="27">
        <f t="shared" si="0"/>
        <v>11</v>
      </c>
      <c r="M36" s="27" t="str">
        <f t="shared" si="1"/>
        <v>No</v>
      </c>
      <c r="N36" s="27">
        <f t="shared" si="2"/>
        <v>13200</v>
      </c>
      <c r="O36" s="28" t="str" cm="1">
        <f t="array" ref="O36">_xlfn.IFS(C36&lt;=30,"Youth",C36&lt;=45,"Adults",C36&gt;=46,"Seniors")</f>
        <v>Youth</v>
      </c>
    </row>
    <row r="37" spans="1:15" ht="15.75" customHeight="1" x14ac:dyDescent="0.3"/>
    <row r="38" spans="1:15" ht="15.75" customHeight="1" x14ac:dyDescent="0.3">
      <c r="A38" s="43" t="s">
        <v>144</v>
      </c>
      <c r="B38" s="43"/>
      <c r="C38" s="43"/>
      <c r="D38" s="43"/>
      <c r="E38" s="43"/>
      <c r="F38" s="43"/>
    </row>
    <row r="39" spans="1:15" ht="15.75" customHeight="1" x14ac:dyDescent="0.3">
      <c r="A39" s="43" t="s">
        <v>145</v>
      </c>
      <c r="B39" s="43"/>
      <c r="C39" s="43"/>
      <c r="D39" s="43"/>
      <c r="E39" s="43"/>
      <c r="F39" s="43"/>
      <c r="H39" s="44" t="s">
        <v>147</v>
      </c>
      <c r="I39" s="44"/>
      <c r="J39" s="44"/>
    </row>
    <row r="40" spans="1:15" ht="15.75" customHeight="1" x14ac:dyDescent="0.3">
      <c r="A40" s="43" t="s">
        <v>146</v>
      </c>
      <c r="B40" s="43"/>
      <c r="C40" s="43"/>
      <c r="D40" s="43"/>
      <c r="E40" s="43"/>
      <c r="F40" s="43"/>
    </row>
    <row r="41" spans="1:15" ht="15.75" customHeight="1" x14ac:dyDescent="0.3">
      <c r="A41" s="43" t="s">
        <v>143</v>
      </c>
      <c r="B41" s="43"/>
      <c r="C41" s="43"/>
      <c r="D41" s="43"/>
      <c r="E41" s="43"/>
      <c r="F41" s="43"/>
    </row>
    <row r="42" spans="1:15" ht="15.75" customHeight="1" x14ac:dyDescent="0.3"/>
    <row r="43" spans="1:15" ht="15.75" customHeight="1" x14ac:dyDescent="0.3"/>
    <row r="44" spans="1:15" ht="15.75" customHeight="1" x14ac:dyDescent="0.3"/>
    <row r="45" spans="1:15" ht="15.75" customHeight="1" x14ac:dyDescent="0.3"/>
    <row r="46" spans="1:15" ht="15.75" customHeight="1" x14ac:dyDescent="0.3"/>
    <row r="47" spans="1:15" ht="15.75" customHeight="1" x14ac:dyDescent="0.3"/>
    <row r="48" spans="1:1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38:F38"/>
    <mergeCell ref="A39:F39"/>
    <mergeCell ref="A40:F40"/>
    <mergeCell ref="A41:F41"/>
    <mergeCell ref="H39:J39"/>
  </mergeCells>
  <conditionalFormatting sqref="B2:N36">
    <cfRule type="expression" dxfId="0" priority="1">
      <formula>IF($I2&lt;8,$L2&gt;=6)</formula>
    </cfRule>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956D-6EFF-449C-850B-1AA23D8245F3}">
  <sheetPr>
    <tabColor rgb="FF427BAE"/>
  </sheetPr>
  <dimension ref="A1:P9"/>
  <sheetViews>
    <sheetView showGridLines="0" zoomScale="95" zoomScaleNormal="95" workbookViewId="0">
      <selection activeCell="L5" sqref="L5"/>
    </sheetView>
  </sheetViews>
  <sheetFormatPr defaultRowHeight="14.4" x14ac:dyDescent="0.3"/>
  <cols>
    <col min="1" max="1" width="2.44140625" customWidth="1"/>
    <col min="2" max="2" width="15.109375" bestFit="1" customWidth="1"/>
    <col min="3" max="3" width="12" customWidth="1"/>
    <col min="4" max="4" width="13.6640625" customWidth="1"/>
    <col min="5" max="5" width="15.33203125" customWidth="1"/>
    <col min="6" max="6" width="2.109375" customWidth="1"/>
    <col min="7" max="7" width="3.5546875" customWidth="1"/>
    <col min="8" max="8" width="16.44140625" bestFit="1" customWidth="1"/>
    <col min="9" max="9" width="17.88671875" customWidth="1"/>
    <col min="10" max="10" width="17.21875" customWidth="1"/>
    <col min="11" max="11" width="15.21875" bestFit="1" customWidth="1"/>
    <col min="12" max="12" width="7.5546875" customWidth="1"/>
    <col min="13" max="13" width="18.6640625" customWidth="1"/>
    <col min="14" max="14" width="10.77734375" customWidth="1"/>
    <col min="15" max="15" width="18.109375" customWidth="1"/>
    <col min="16" max="16" width="25.5546875" bestFit="1" customWidth="1"/>
  </cols>
  <sheetData>
    <row r="1" spans="1:16" ht="23.4" customHeight="1" x14ac:dyDescent="0.3">
      <c r="A1" s="42"/>
      <c r="B1" s="45" t="s">
        <v>148</v>
      </c>
      <c r="C1" s="45"/>
      <c r="D1" s="45"/>
      <c r="E1" s="45"/>
      <c r="F1" s="45"/>
      <c r="G1" s="45"/>
      <c r="H1" s="45"/>
      <c r="I1" s="45"/>
      <c r="J1" s="45"/>
      <c r="K1" s="45"/>
      <c r="L1" s="45"/>
      <c r="M1" s="45"/>
      <c r="N1" s="45"/>
      <c r="O1" s="45"/>
      <c r="P1" s="45"/>
    </row>
    <row r="2" spans="1:16" ht="18" x14ac:dyDescent="0.3">
      <c r="B2" s="33" t="s">
        <v>138</v>
      </c>
      <c r="C2" s="33" t="s">
        <v>2</v>
      </c>
      <c r="D2" s="33"/>
      <c r="E2" s="33"/>
      <c r="H2" s="29" t="s">
        <v>132</v>
      </c>
      <c r="I2" s="29" t="s">
        <v>133</v>
      </c>
      <c r="J2" s="29" t="s">
        <v>134</v>
      </c>
      <c r="K2" s="29" t="s">
        <v>135</v>
      </c>
      <c r="M2" s="38" t="s">
        <v>140</v>
      </c>
      <c r="N2" s="38" t="s">
        <v>137</v>
      </c>
      <c r="O2" s="38" t="s">
        <v>136</v>
      </c>
      <c r="P2" s="38" t="s">
        <v>139</v>
      </c>
    </row>
    <row r="3" spans="1:16" ht="18" x14ac:dyDescent="0.3">
      <c r="B3" s="33" t="s">
        <v>131</v>
      </c>
      <c r="C3" s="33" t="s">
        <v>27</v>
      </c>
      <c r="D3" s="33" t="s">
        <v>12</v>
      </c>
      <c r="E3" s="33" t="s">
        <v>112</v>
      </c>
      <c r="H3" s="31">
        <v>265200</v>
      </c>
      <c r="I3" s="31">
        <v>35000</v>
      </c>
      <c r="J3" s="31">
        <v>0</v>
      </c>
      <c r="K3" s="30">
        <v>35</v>
      </c>
      <c r="M3" s="41" t="s">
        <v>13</v>
      </c>
      <c r="N3" s="38">
        <v>9</v>
      </c>
      <c r="O3" s="39">
        <v>39.333333333333336</v>
      </c>
      <c r="P3" s="40">
        <v>5</v>
      </c>
    </row>
    <row r="4" spans="1:16" ht="15.6" x14ac:dyDescent="0.3">
      <c r="B4" s="32" t="s">
        <v>31</v>
      </c>
      <c r="C4" s="34">
        <v>13333.333333333334</v>
      </c>
      <c r="D4" s="34">
        <v>8750</v>
      </c>
      <c r="E4" s="36">
        <v>10714.285714285714</v>
      </c>
      <c r="M4" s="41" t="s">
        <v>31</v>
      </c>
      <c r="N4" s="38">
        <v>7</v>
      </c>
      <c r="O4" s="39">
        <v>32.285714285714285</v>
      </c>
      <c r="P4" s="40">
        <v>4.2857142857142856</v>
      </c>
    </row>
    <row r="5" spans="1:16" ht="15.6" x14ac:dyDescent="0.3">
      <c r="B5" s="32" t="s">
        <v>41</v>
      </c>
      <c r="C5" s="34">
        <v>16800</v>
      </c>
      <c r="D5" s="34">
        <v>4050</v>
      </c>
      <c r="E5" s="36">
        <v>9514.2857142857138</v>
      </c>
      <c r="M5" s="41" t="s">
        <v>41</v>
      </c>
      <c r="N5" s="38">
        <v>7</v>
      </c>
      <c r="O5" s="39">
        <v>42.571428571428569</v>
      </c>
      <c r="P5" s="40">
        <v>5.2857142857142856</v>
      </c>
    </row>
    <row r="6" spans="1:16" ht="15.6" x14ac:dyDescent="0.3">
      <c r="B6" s="32" t="s">
        <v>22</v>
      </c>
      <c r="C6" s="34">
        <v>6720</v>
      </c>
      <c r="D6" s="34">
        <v>7714.2857142857147</v>
      </c>
      <c r="E6" s="36">
        <v>7300</v>
      </c>
      <c r="M6" s="41" t="s">
        <v>22</v>
      </c>
      <c r="N6" s="38">
        <v>12</v>
      </c>
      <c r="O6" s="39">
        <v>34.75</v>
      </c>
      <c r="P6" s="40">
        <v>6.083333333333333</v>
      </c>
    </row>
    <row r="7" spans="1:16" ht="15.6" x14ac:dyDescent="0.3">
      <c r="B7" s="32" t="s">
        <v>13</v>
      </c>
      <c r="C7" s="34">
        <v>7200</v>
      </c>
      <c r="D7" s="34">
        <v>1440</v>
      </c>
      <c r="E7" s="36">
        <v>4000</v>
      </c>
      <c r="M7" s="41" t="s">
        <v>112</v>
      </c>
      <c r="N7" s="38">
        <v>35</v>
      </c>
      <c r="O7" s="39">
        <v>37</v>
      </c>
      <c r="P7" s="40">
        <v>5.2857142857142856</v>
      </c>
    </row>
    <row r="8" spans="1:16" ht="21.75" customHeight="1" x14ac:dyDescent="0.3">
      <c r="B8" s="7" t="s">
        <v>112</v>
      </c>
      <c r="C8" s="35">
        <v>10186.666666666666</v>
      </c>
      <c r="D8" s="35">
        <v>5620</v>
      </c>
      <c r="E8" s="37">
        <v>7577.1428571428569</v>
      </c>
    </row>
    <row r="9" spans="1:16" ht="18.600000000000001" customHeight="1" x14ac:dyDescent="0.3"/>
  </sheetData>
  <mergeCells count="1">
    <mergeCell ref="B1:P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063E-C551-45BB-A8B6-1A89350D7CEB}">
  <sheetPr>
    <tabColor theme="8" tint="0.59999389629810485"/>
  </sheetPr>
  <dimension ref="B1:J23"/>
  <sheetViews>
    <sheetView showGridLines="0" workbookViewId="0">
      <selection activeCell="D51" sqref="D51"/>
    </sheetView>
  </sheetViews>
  <sheetFormatPr defaultRowHeight="14.4" x14ac:dyDescent="0.3"/>
  <cols>
    <col min="1" max="1" width="6.21875" customWidth="1"/>
    <col min="2" max="2" width="20.44140625" bestFit="1" customWidth="1"/>
    <col min="3" max="3" width="10.44140625" bestFit="1" customWidth="1"/>
    <col min="4" max="4" width="11.44140625" customWidth="1"/>
    <col min="5" max="5" width="10.77734375" customWidth="1"/>
    <col min="6" max="6" width="17.109375" customWidth="1"/>
    <col min="7" max="7" width="20.21875" bestFit="1" customWidth="1"/>
    <col min="8" max="8" width="11.33203125" bestFit="1" customWidth="1"/>
    <col min="9" max="9" width="17.21875" bestFit="1" customWidth="1"/>
    <col min="10" max="10" width="12.77734375" bestFit="1" customWidth="1"/>
    <col min="11" max="13" width="7.5546875" bestFit="1" customWidth="1"/>
    <col min="14" max="14" width="17" bestFit="1" customWidth="1"/>
    <col min="15" max="15" width="14.77734375" bestFit="1" customWidth="1"/>
    <col min="16" max="16" width="6.77734375" bestFit="1" customWidth="1"/>
    <col min="17" max="17" width="5.5546875" bestFit="1" customWidth="1"/>
    <col min="18" max="18" width="10.21875" bestFit="1" customWidth="1"/>
    <col min="19" max="32" width="7.5546875" bestFit="1" customWidth="1"/>
  </cols>
  <sheetData>
    <row r="1" spans="2:10" ht="9" customHeight="1" x14ac:dyDescent="0.3">
      <c r="B1" s="46" t="s">
        <v>127</v>
      </c>
      <c r="C1" s="46"/>
      <c r="D1" s="46"/>
      <c r="F1" s="46" t="s">
        <v>128</v>
      </c>
      <c r="G1" s="46"/>
    </row>
    <row r="2" spans="2:10" ht="47.7" customHeight="1" x14ac:dyDescent="0.3">
      <c r="B2" s="46"/>
      <c r="C2" s="46"/>
      <c r="D2" s="46"/>
      <c r="F2" s="46"/>
      <c r="G2" s="46"/>
      <c r="I2" s="48" t="s">
        <v>141</v>
      </c>
      <c r="J2" s="48"/>
    </row>
    <row r="3" spans="2:10" x14ac:dyDescent="0.3">
      <c r="B3" s="6"/>
      <c r="C3" t="s">
        <v>113</v>
      </c>
      <c r="D3" s="9"/>
      <c r="F3" s="6" t="s">
        <v>116</v>
      </c>
      <c r="G3" s="13" t="s">
        <v>115</v>
      </c>
      <c r="I3" s="48"/>
      <c r="J3" s="48"/>
    </row>
    <row r="4" spans="2:10" ht="14.7" customHeight="1" x14ac:dyDescent="0.3">
      <c r="B4" s="6"/>
      <c r="C4" t="s">
        <v>110</v>
      </c>
      <c r="D4" s="9" t="s">
        <v>111</v>
      </c>
      <c r="F4" s="14" t="s">
        <v>14</v>
      </c>
      <c r="G4" s="13">
        <v>55300</v>
      </c>
      <c r="I4" s="15" t="s">
        <v>117</v>
      </c>
      <c r="J4" s="16" t="s">
        <v>118</v>
      </c>
    </row>
    <row r="5" spans="2:10" ht="25.2" customHeight="1" x14ac:dyDescent="0.3">
      <c r="B5" s="7" t="s">
        <v>114</v>
      </c>
      <c r="C5" s="8">
        <v>1530</v>
      </c>
      <c r="D5" s="10">
        <v>1406.6666666666667</v>
      </c>
      <c r="F5" s="14" t="s">
        <v>67</v>
      </c>
      <c r="G5" s="13">
        <v>49400</v>
      </c>
      <c r="I5" s="2" t="s">
        <v>41</v>
      </c>
      <c r="J5" s="3">
        <f>SUMIF(Data!$E$2:$E$36,I5,Data!$N$2:$N$36)</f>
        <v>66600</v>
      </c>
    </row>
    <row r="6" spans="2:10" x14ac:dyDescent="0.3">
      <c r="F6" s="14" t="s">
        <v>23</v>
      </c>
      <c r="G6" s="13">
        <v>28800</v>
      </c>
      <c r="I6" s="2" t="s">
        <v>31</v>
      </c>
      <c r="J6" s="4">
        <f>SUMIF(Data!$E$2:$E$36,I6,Data!$N$2:$N$36)</f>
        <v>75000</v>
      </c>
    </row>
    <row r="7" spans="2:10" x14ac:dyDescent="0.3">
      <c r="F7" s="14" t="s">
        <v>42</v>
      </c>
      <c r="G7" s="13">
        <v>32100</v>
      </c>
    </row>
    <row r="8" spans="2:10" x14ac:dyDescent="0.3">
      <c r="F8" s="14" t="s">
        <v>35</v>
      </c>
      <c r="G8" s="13">
        <v>76400</v>
      </c>
    </row>
    <row r="9" spans="2:10" x14ac:dyDescent="0.3">
      <c r="F9" s="14" t="s">
        <v>18</v>
      </c>
      <c r="G9" s="13">
        <v>23200</v>
      </c>
    </row>
    <row r="10" spans="2:10" ht="14.25" customHeight="1" x14ac:dyDescent="0.3">
      <c r="D10" s="1"/>
      <c r="F10" s="14" t="s">
        <v>112</v>
      </c>
      <c r="G10" s="13">
        <v>265200</v>
      </c>
    </row>
    <row r="11" spans="2:10" ht="21" customHeight="1" x14ac:dyDescent="0.3"/>
    <row r="13" spans="2:10" x14ac:dyDescent="0.3">
      <c r="B13" s="46" t="s">
        <v>129</v>
      </c>
      <c r="C13" s="46"/>
      <c r="D13" s="46"/>
      <c r="F13" s="47" t="s">
        <v>130</v>
      </c>
      <c r="G13" s="47"/>
      <c r="H13" s="47"/>
      <c r="I13" s="47"/>
      <c r="J13" s="47"/>
    </row>
    <row r="14" spans="2:10" x14ac:dyDescent="0.3">
      <c r="B14" s="46"/>
      <c r="C14" s="46"/>
      <c r="D14" s="46"/>
      <c r="F14" s="47"/>
      <c r="G14" s="47"/>
      <c r="H14" s="47"/>
      <c r="I14" s="47"/>
      <c r="J14" s="47"/>
    </row>
    <row r="15" spans="2:10" x14ac:dyDescent="0.3">
      <c r="B15" s="6" t="s">
        <v>119</v>
      </c>
      <c r="C15" t="s">
        <v>2</v>
      </c>
      <c r="D15" s="9"/>
      <c r="F15" s="6" t="s">
        <v>126</v>
      </c>
      <c r="G15" t="s">
        <v>125</v>
      </c>
      <c r="J15" s="9"/>
    </row>
    <row r="16" spans="2:10" x14ac:dyDescent="0.3">
      <c r="B16" s="6" t="s">
        <v>116</v>
      </c>
      <c r="C16" t="s">
        <v>27</v>
      </c>
      <c r="D16" s="9" t="s">
        <v>12</v>
      </c>
      <c r="F16" s="14" t="s">
        <v>121</v>
      </c>
      <c r="G16" s="12" t="s">
        <v>122</v>
      </c>
      <c r="H16" s="12" t="s">
        <v>123</v>
      </c>
      <c r="I16" s="11" t="s">
        <v>124</v>
      </c>
      <c r="J16" s="13" t="s">
        <v>112</v>
      </c>
    </row>
    <row r="17" spans="2:10" x14ac:dyDescent="0.3">
      <c r="B17" s="14" t="s">
        <v>14</v>
      </c>
      <c r="C17" s="12">
        <v>3</v>
      </c>
      <c r="D17" s="13">
        <v>2</v>
      </c>
      <c r="F17" s="14" t="s">
        <v>13</v>
      </c>
      <c r="G17" s="12">
        <v>4</v>
      </c>
      <c r="H17" s="12">
        <v>2</v>
      </c>
      <c r="I17" s="11">
        <v>3</v>
      </c>
      <c r="J17" s="13">
        <v>9</v>
      </c>
    </row>
    <row r="18" spans="2:10" x14ac:dyDescent="0.3">
      <c r="B18" s="14" t="s">
        <v>67</v>
      </c>
      <c r="C18" s="12">
        <v>3</v>
      </c>
      <c r="D18" s="13">
        <v>1</v>
      </c>
      <c r="F18" s="14" t="s">
        <v>31</v>
      </c>
      <c r="G18" s="12">
        <v>2</v>
      </c>
      <c r="H18" s="12">
        <v>1</v>
      </c>
      <c r="I18" s="11">
        <v>4</v>
      </c>
      <c r="J18" s="13">
        <v>7</v>
      </c>
    </row>
    <row r="19" spans="2:10" x14ac:dyDescent="0.3">
      <c r="B19" s="14" t="s">
        <v>23</v>
      </c>
      <c r="C19" s="12">
        <v>3</v>
      </c>
      <c r="D19" s="13">
        <v>2</v>
      </c>
      <c r="F19" s="14" t="s">
        <v>41</v>
      </c>
      <c r="G19" s="12">
        <v>1</v>
      </c>
      <c r="H19" s="12">
        <v>4</v>
      </c>
      <c r="I19" s="11">
        <v>2</v>
      </c>
      <c r="J19" s="13">
        <v>7</v>
      </c>
    </row>
    <row r="20" spans="2:10" x14ac:dyDescent="0.3">
      <c r="B20" s="14" t="s">
        <v>42</v>
      </c>
      <c r="C20" s="12">
        <v>2</v>
      </c>
      <c r="D20" s="13">
        <v>4</v>
      </c>
      <c r="F20" s="14" t="s">
        <v>22</v>
      </c>
      <c r="G20" s="12">
        <v>6</v>
      </c>
      <c r="H20" s="12">
        <v>2</v>
      </c>
      <c r="I20" s="11">
        <v>4</v>
      </c>
      <c r="J20" s="13">
        <v>12</v>
      </c>
    </row>
    <row r="21" spans="2:10" x14ac:dyDescent="0.3">
      <c r="B21" s="14" t="s">
        <v>35</v>
      </c>
      <c r="C21" s="12">
        <v>2</v>
      </c>
      <c r="D21" s="13">
        <v>8</v>
      </c>
      <c r="F21" s="14" t="s">
        <v>112</v>
      </c>
      <c r="G21" s="12">
        <v>13</v>
      </c>
      <c r="H21" s="12">
        <v>9</v>
      </c>
      <c r="I21" s="11">
        <v>13</v>
      </c>
      <c r="J21" s="13">
        <v>35</v>
      </c>
    </row>
    <row r="22" spans="2:10" x14ac:dyDescent="0.3">
      <c r="B22" s="14" t="s">
        <v>18</v>
      </c>
      <c r="C22" s="12">
        <v>2</v>
      </c>
      <c r="D22" s="13">
        <v>3</v>
      </c>
    </row>
    <row r="23" spans="2:10" x14ac:dyDescent="0.3">
      <c r="B23" s="14" t="s">
        <v>112</v>
      </c>
      <c r="C23" s="12">
        <v>15</v>
      </c>
      <c r="D23" s="13">
        <v>20</v>
      </c>
    </row>
  </sheetData>
  <mergeCells count="5">
    <mergeCell ref="F1:G2"/>
    <mergeCell ref="B13:D14"/>
    <mergeCell ref="B1:D2"/>
    <mergeCell ref="F13:J14"/>
    <mergeCell ref="I2:J3"/>
  </mergeCells>
  <dataValidations count="2">
    <dataValidation type="list" allowBlank="1" showInputMessage="1" showErrorMessage="1" sqref="I6" xr:uid="{2FBFC270-CBD5-4DD1-AE77-A8681AD4BFA8}">
      <formula1>"Basic, Family, Premium, Standard"</formula1>
    </dataValidation>
    <dataValidation type="list" allowBlank="1" showInputMessage="1" showErrorMessage="1" sqref="I5" xr:uid="{94750E20-7856-420F-924C-0853744402E9}">
      <formula1>"Basic, Standard, Premium, Family"</formula1>
    </dataValidation>
  </dataValidation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dc:creator>
  <cp:lastModifiedBy>Dhruv</cp:lastModifiedBy>
  <dcterms:created xsi:type="dcterms:W3CDTF">2025-04-06T20:54:03Z</dcterms:created>
  <dcterms:modified xsi:type="dcterms:W3CDTF">2025-11-07T19:52:59Z</dcterms:modified>
</cp:coreProperties>
</file>